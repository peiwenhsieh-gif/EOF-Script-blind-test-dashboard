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documenttasks/documenttask1.xml" ContentType="application/vnd.ms-excel.documenttask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peiwen/Documents/GitHub/EOF-Script-blind-test-dashboard/"/>
    </mc:Choice>
  </mc:AlternateContent>
  <xr:revisionPtr revIDLastSave="0" documentId="13_ncr:1_{1136CBAD-105B-0E43-8C4A-335180FB933C}" xr6:coauthVersionLast="47" xr6:coauthVersionMax="47" xr10:uidLastSave="{00000000-0000-0000-0000-000000000000}"/>
  <bookViews>
    <workbookView xWindow="0" yWindow="500" windowWidth="51200" windowHeight="28300" xr2:uid="{00000000-000D-0000-FFFF-FFFF00000000}"/>
  </bookViews>
  <sheets>
    <sheet name="表單回覆 整合" sheetId="1" r:id="rId1"/>
    <sheet name="寄送列表" sheetId="4" state="hidden" r:id="rId2"/>
    <sheet name="表單回覆 整合-公式" sheetId="5" state="hidden" r:id="rId3"/>
    <sheet name="彼此影業 劇本盲測對象調查 - 盲測初選名單 (已自動連結)" sheetId="6" state="hidden" r:id="rId4"/>
  </sheets>
  <definedNames>
    <definedName name="_xlnm._FilterDatabase" localSheetId="2" hidden="1">'表單回覆 整合-公式'!$A$1:$AI$131</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K55" i="6" l="1"/>
  <c r="J55" i="6"/>
  <c r="I55" i="6"/>
  <c r="H55" i="6"/>
  <c r="G55" i="6"/>
  <c r="F55" i="6"/>
  <c r="E55" i="6"/>
  <c r="C55" i="6"/>
  <c r="B55" i="6"/>
  <c r="A55" i="6"/>
  <c r="K54" i="6"/>
  <c r="J54" i="6"/>
  <c r="I54" i="6"/>
  <c r="H54" i="6"/>
  <c r="G54" i="6"/>
  <c r="F54" i="6"/>
  <c r="E54" i="6"/>
  <c r="C54" i="6"/>
  <c r="B54" i="6"/>
  <c r="A54" i="6"/>
  <c r="K53" i="6"/>
  <c r="J53" i="6"/>
  <c r="I53" i="6"/>
  <c r="H53" i="6"/>
  <c r="G53" i="6"/>
  <c r="F53" i="6"/>
  <c r="E53" i="6"/>
  <c r="C53" i="6"/>
  <c r="B53" i="6"/>
  <c r="A53" i="6"/>
  <c r="K52" i="6"/>
  <c r="J52" i="6"/>
  <c r="I52" i="6"/>
  <c r="H52" i="6"/>
  <c r="G52" i="6"/>
  <c r="F52" i="6"/>
  <c r="E52" i="6"/>
  <c r="D52" i="6"/>
  <c r="C52" i="6"/>
  <c r="B52" i="6"/>
  <c r="A52" i="6"/>
  <c r="L51" i="6"/>
  <c r="K51" i="6"/>
  <c r="J51" i="6"/>
  <c r="I51" i="6"/>
  <c r="H51" i="6"/>
  <c r="G51" i="6"/>
  <c r="F51" i="6"/>
  <c r="E51" i="6"/>
  <c r="D51" i="6"/>
  <c r="C51" i="6"/>
  <c r="B51" i="6"/>
  <c r="A51" i="6"/>
  <c r="L50" i="6"/>
  <c r="K50" i="6"/>
  <c r="J50" i="6"/>
  <c r="I50" i="6"/>
  <c r="H50" i="6"/>
  <c r="G50" i="6"/>
  <c r="F50" i="6"/>
  <c r="E50" i="6"/>
  <c r="D50" i="6"/>
  <c r="C50" i="6"/>
  <c r="B50" i="6"/>
  <c r="A50" i="6"/>
  <c r="K49" i="6"/>
  <c r="J49" i="6"/>
  <c r="I49" i="6"/>
  <c r="H49" i="6"/>
  <c r="G49" i="6"/>
  <c r="F49" i="6"/>
  <c r="E49" i="6"/>
  <c r="C49" i="6"/>
  <c r="B49" i="6"/>
  <c r="A49" i="6"/>
  <c r="K48" i="6"/>
  <c r="J48" i="6"/>
  <c r="I48" i="6"/>
  <c r="H48" i="6"/>
  <c r="G48" i="6"/>
  <c r="F48" i="6"/>
  <c r="E48" i="6"/>
  <c r="C48" i="6"/>
  <c r="B48" i="6"/>
  <c r="A48" i="6"/>
  <c r="K47" i="6"/>
  <c r="J47" i="6"/>
  <c r="I47" i="6"/>
  <c r="H47" i="6"/>
  <c r="G47" i="6"/>
  <c r="F47" i="6"/>
  <c r="E47" i="6"/>
  <c r="C47" i="6"/>
  <c r="B47" i="6"/>
  <c r="A47" i="6"/>
  <c r="K46" i="6"/>
  <c r="J46" i="6"/>
  <c r="I46" i="6"/>
  <c r="H46" i="6"/>
  <c r="G46" i="6"/>
  <c r="F46" i="6"/>
  <c r="E46" i="6"/>
  <c r="C46" i="6"/>
  <c r="B46" i="6"/>
  <c r="A46" i="6"/>
  <c r="L45" i="6"/>
  <c r="K45" i="6"/>
  <c r="J45" i="6"/>
  <c r="I45" i="6"/>
  <c r="H45" i="6"/>
  <c r="G45" i="6"/>
  <c r="F45" i="6"/>
  <c r="E45" i="6"/>
  <c r="C45" i="6"/>
  <c r="B45" i="6"/>
  <c r="A45" i="6"/>
  <c r="L44" i="6"/>
  <c r="K44" i="6"/>
  <c r="J44" i="6"/>
  <c r="I44" i="6"/>
  <c r="H44" i="6"/>
  <c r="G44" i="6"/>
  <c r="F44" i="6"/>
  <c r="E44" i="6"/>
  <c r="D44" i="6"/>
  <c r="C44" i="6"/>
  <c r="B44" i="6"/>
  <c r="A44" i="6"/>
  <c r="K43" i="6"/>
  <c r="J43" i="6"/>
  <c r="I43" i="6"/>
  <c r="H43" i="6"/>
  <c r="G43" i="6"/>
  <c r="F43" i="6"/>
  <c r="E43" i="6"/>
  <c r="C43" i="6"/>
  <c r="B43" i="6"/>
  <c r="A43" i="6"/>
  <c r="K42" i="6"/>
  <c r="J42" i="6"/>
  <c r="I42" i="6"/>
  <c r="H42" i="6"/>
  <c r="G42" i="6"/>
  <c r="F42" i="6"/>
  <c r="E42" i="6"/>
  <c r="C42" i="6"/>
  <c r="B42" i="6"/>
  <c r="A42" i="6"/>
  <c r="K41" i="6"/>
  <c r="J41" i="6"/>
  <c r="I41" i="6"/>
  <c r="H41" i="6"/>
  <c r="G41" i="6"/>
  <c r="F41" i="6"/>
  <c r="E41" i="6"/>
  <c r="D41" i="6"/>
  <c r="C41" i="6"/>
  <c r="B41" i="6"/>
  <c r="A41" i="6"/>
  <c r="L40" i="6"/>
  <c r="K40" i="6"/>
  <c r="J40" i="6"/>
  <c r="I40" i="6"/>
  <c r="H40" i="6"/>
  <c r="G40" i="6"/>
  <c r="F40" i="6"/>
  <c r="E40" i="6"/>
  <c r="D40" i="6"/>
  <c r="C40" i="6"/>
  <c r="B40" i="6"/>
  <c r="A40" i="6"/>
  <c r="K39" i="6"/>
  <c r="J39" i="6"/>
  <c r="I39" i="6"/>
  <c r="H39" i="6"/>
  <c r="G39" i="6"/>
  <c r="F39" i="6"/>
  <c r="E39" i="6"/>
  <c r="C39" i="6"/>
  <c r="B39" i="6"/>
  <c r="A39" i="6"/>
  <c r="J38" i="6"/>
  <c r="I38" i="6"/>
  <c r="H38" i="6"/>
  <c r="G38" i="6"/>
  <c r="F38" i="6"/>
  <c r="E38" i="6"/>
  <c r="C38" i="6"/>
  <c r="B38" i="6"/>
  <c r="A38" i="6"/>
  <c r="K37" i="6"/>
  <c r="J37" i="6"/>
  <c r="I37" i="6"/>
  <c r="H37" i="6"/>
  <c r="G37" i="6"/>
  <c r="F37" i="6"/>
  <c r="E37" i="6"/>
  <c r="C37" i="6"/>
  <c r="B37" i="6"/>
  <c r="A37" i="6"/>
  <c r="L36" i="6"/>
  <c r="K36" i="6"/>
  <c r="J36" i="6"/>
  <c r="I36" i="6"/>
  <c r="H36" i="6"/>
  <c r="G36" i="6"/>
  <c r="F36" i="6"/>
  <c r="E36" i="6"/>
  <c r="D36" i="6"/>
  <c r="C36" i="6"/>
  <c r="B36" i="6"/>
  <c r="A36" i="6"/>
  <c r="K35" i="6"/>
  <c r="J35" i="6"/>
  <c r="I35" i="6"/>
  <c r="H35" i="6"/>
  <c r="G35" i="6"/>
  <c r="F35" i="6"/>
  <c r="E35" i="6"/>
  <c r="D35" i="6"/>
  <c r="C35" i="6"/>
  <c r="B35" i="6"/>
  <c r="A35" i="6"/>
  <c r="K34" i="6"/>
  <c r="J34" i="6"/>
  <c r="I34" i="6"/>
  <c r="H34" i="6"/>
  <c r="G34" i="6"/>
  <c r="F34" i="6"/>
  <c r="E34" i="6"/>
  <c r="C34" i="6"/>
  <c r="B34" i="6"/>
  <c r="A34" i="6"/>
  <c r="K33" i="6"/>
  <c r="J33" i="6"/>
  <c r="I33" i="6"/>
  <c r="H33" i="6"/>
  <c r="G33" i="6"/>
  <c r="F33" i="6"/>
  <c r="E33" i="6"/>
  <c r="C33" i="6"/>
  <c r="B33" i="6"/>
  <c r="A33" i="6"/>
  <c r="L32" i="6"/>
  <c r="K32" i="6"/>
  <c r="J32" i="6"/>
  <c r="I32" i="6"/>
  <c r="H32" i="6"/>
  <c r="G32" i="6"/>
  <c r="F32" i="6"/>
  <c r="E32" i="6"/>
  <c r="C32" i="6"/>
  <c r="B32" i="6"/>
  <c r="A32" i="6"/>
  <c r="K31" i="6"/>
  <c r="J31" i="6"/>
  <c r="I31" i="6"/>
  <c r="H31" i="6"/>
  <c r="G31" i="6"/>
  <c r="F31" i="6"/>
  <c r="E31" i="6"/>
  <c r="C31" i="6"/>
  <c r="B31" i="6"/>
  <c r="A31" i="6"/>
  <c r="L30" i="6"/>
  <c r="K30" i="6"/>
  <c r="J30" i="6"/>
  <c r="I30" i="6"/>
  <c r="H30" i="6"/>
  <c r="G30" i="6"/>
  <c r="F30" i="6"/>
  <c r="E30" i="6"/>
  <c r="C30" i="6"/>
  <c r="B30" i="6"/>
  <c r="A30" i="6"/>
  <c r="K29" i="6"/>
  <c r="J29" i="6"/>
  <c r="I29" i="6"/>
  <c r="H29" i="6"/>
  <c r="G29" i="6"/>
  <c r="F29" i="6"/>
  <c r="E29" i="6"/>
  <c r="D29" i="6"/>
  <c r="C29" i="6"/>
  <c r="B29" i="6"/>
  <c r="A29" i="6"/>
  <c r="L28" i="6"/>
  <c r="K28" i="6"/>
  <c r="J28" i="6"/>
  <c r="I28" i="6"/>
  <c r="H28" i="6"/>
  <c r="G28" i="6"/>
  <c r="F28" i="6"/>
  <c r="E28" i="6"/>
  <c r="D28" i="6"/>
  <c r="C28" i="6"/>
  <c r="B28" i="6"/>
  <c r="A28" i="6"/>
  <c r="L27" i="6"/>
  <c r="K27" i="6"/>
  <c r="J27" i="6"/>
  <c r="I27" i="6"/>
  <c r="H27" i="6"/>
  <c r="G27" i="6"/>
  <c r="F27" i="6"/>
  <c r="E27" i="6"/>
  <c r="D27" i="6"/>
  <c r="C27" i="6"/>
  <c r="B27" i="6"/>
  <c r="A27" i="6"/>
  <c r="L26" i="6"/>
  <c r="K26" i="6"/>
  <c r="J26" i="6"/>
  <c r="I26" i="6"/>
  <c r="H26" i="6"/>
  <c r="G26" i="6"/>
  <c r="F26" i="6"/>
  <c r="E26" i="6"/>
  <c r="D26" i="6"/>
  <c r="C26" i="6"/>
  <c r="B26" i="6"/>
  <c r="A26" i="6"/>
  <c r="K25" i="6"/>
  <c r="J25" i="6"/>
  <c r="I25" i="6"/>
  <c r="H25" i="6"/>
  <c r="G25" i="6"/>
  <c r="F25" i="6"/>
  <c r="E25" i="6"/>
  <c r="D25" i="6"/>
  <c r="C25" i="6"/>
  <c r="B25" i="6"/>
  <c r="A25" i="6"/>
  <c r="K24" i="6"/>
  <c r="J24" i="6"/>
  <c r="I24" i="6"/>
  <c r="H24" i="6"/>
  <c r="G24" i="6"/>
  <c r="F24" i="6"/>
  <c r="E24" i="6"/>
  <c r="D24" i="6"/>
  <c r="C24" i="6"/>
  <c r="B24" i="6"/>
  <c r="A24" i="6"/>
  <c r="K23" i="6"/>
  <c r="J23" i="6"/>
  <c r="I23" i="6"/>
  <c r="H23" i="6"/>
  <c r="G23" i="6"/>
  <c r="F23" i="6"/>
  <c r="E23" i="6"/>
  <c r="C23" i="6"/>
  <c r="B23" i="6"/>
  <c r="A23" i="6"/>
  <c r="K22" i="6"/>
  <c r="J22" i="6"/>
  <c r="I22" i="6"/>
  <c r="H22" i="6"/>
  <c r="G22" i="6"/>
  <c r="F22" i="6"/>
  <c r="E22" i="6"/>
  <c r="C22" i="6"/>
  <c r="B22" i="6"/>
  <c r="A22" i="6"/>
  <c r="L21" i="6"/>
  <c r="K21" i="6"/>
  <c r="J21" i="6"/>
  <c r="I21" i="6"/>
  <c r="H21" i="6"/>
  <c r="G21" i="6"/>
  <c r="F21" i="6"/>
  <c r="E21" i="6"/>
  <c r="C21" i="6"/>
  <c r="B21" i="6"/>
  <c r="A21" i="6"/>
  <c r="K20" i="6"/>
  <c r="J20" i="6"/>
  <c r="I20" i="6"/>
  <c r="H20" i="6"/>
  <c r="G20" i="6"/>
  <c r="F20" i="6"/>
  <c r="E20" i="6"/>
  <c r="C20" i="6"/>
  <c r="B20" i="6"/>
  <c r="A20" i="6"/>
  <c r="K19" i="6"/>
  <c r="J19" i="6"/>
  <c r="I19" i="6"/>
  <c r="H19" i="6"/>
  <c r="G19" i="6"/>
  <c r="F19" i="6"/>
  <c r="E19" i="6"/>
  <c r="C19" i="6"/>
  <c r="B19" i="6"/>
  <c r="A19" i="6"/>
  <c r="L18" i="6"/>
  <c r="K18" i="6"/>
  <c r="J18" i="6"/>
  <c r="I18" i="6"/>
  <c r="H18" i="6"/>
  <c r="G18" i="6"/>
  <c r="F18" i="6"/>
  <c r="E18" i="6"/>
  <c r="D18" i="6"/>
  <c r="C18" i="6"/>
  <c r="B18" i="6"/>
  <c r="A18" i="6"/>
  <c r="K17" i="6"/>
  <c r="J17" i="6"/>
  <c r="I17" i="6"/>
  <c r="H17" i="6"/>
  <c r="G17" i="6"/>
  <c r="F17" i="6"/>
  <c r="E17" i="6"/>
  <c r="D17" i="6"/>
  <c r="C17" i="6"/>
  <c r="B17" i="6"/>
  <c r="A17" i="6"/>
  <c r="K16" i="6"/>
  <c r="J16" i="6"/>
  <c r="I16" i="6"/>
  <c r="H16" i="6"/>
  <c r="G16" i="6"/>
  <c r="F16" i="6"/>
  <c r="E16" i="6"/>
  <c r="D16" i="6"/>
  <c r="C16" i="6"/>
  <c r="B16" i="6"/>
  <c r="A16" i="6"/>
  <c r="K15" i="6"/>
  <c r="J15" i="6"/>
  <c r="I15" i="6"/>
  <c r="H15" i="6"/>
  <c r="G15" i="6"/>
  <c r="F15" i="6"/>
  <c r="E15" i="6"/>
  <c r="C15" i="6"/>
  <c r="B15" i="6"/>
  <c r="A15" i="6"/>
  <c r="K14" i="6"/>
  <c r="J14" i="6"/>
  <c r="I14" i="6"/>
  <c r="H14" i="6"/>
  <c r="G14" i="6"/>
  <c r="F14" i="6"/>
  <c r="E14" i="6"/>
  <c r="C14" i="6"/>
  <c r="B14" i="6"/>
  <c r="A14" i="6"/>
  <c r="K13" i="6"/>
  <c r="J13" i="6"/>
  <c r="I13" i="6"/>
  <c r="H13" i="6"/>
  <c r="G13" i="6"/>
  <c r="F13" i="6"/>
  <c r="E13" i="6"/>
  <c r="C13" i="6"/>
  <c r="B13" i="6"/>
  <c r="A13" i="6"/>
  <c r="L12" i="6"/>
  <c r="K12" i="6"/>
  <c r="J12" i="6"/>
  <c r="I12" i="6"/>
  <c r="H12" i="6"/>
  <c r="G12" i="6"/>
  <c r="F12" i="6"/>
  <c r="E12" i="6"/>
  <c r="D12" i="6"/>
  <c r="C12" i="6"/>
  <c r="B12" i="6"/>
  <c r="A12" i="6"/>
  <c r="L11" i="6"/>
  <c r="K11" i="6"/>
  <c r="J11" i="6"/>
  <c r="I11" i="6"/>
  <c r="H11" i="6"/>
  <c r="G11" i="6"/>
  <c r="F11" i="6"/>
  <c r="E11" i="6"/>
  <c r="C11" i="6"/>
  <c r="B11" i="6"/>
  <c r="A11" i="6"/>
  <c r="K10" i="6"/>
  <c r="J10" i="6"/>
  <c r="I10" i="6"/>
  <c r="H10" i="6"/>
  <c r="G10" i="6"/>
  <c r="F10" i="6"/>
  <c r="E10" i="6"/>
  <c r="C10" i="6"/>
  <c r="B10" i="6"/>
  <c r="A10" i="6"/>
  <c r="K9" i="6"/>
  <c r="J9" i="6"/>
  <c r="I9" i="6"/>
  <c r="H9" i="6"/>
  <c r="G9" i="6"/>
  <c r="F9" i="6"/>
  <c r="E9" i="6"/>
  <c r="D9" i="6"/>
  <c r="C9" i="6"/>
  <c r="B9" i="6"/>
  <c r="A9" i="6"/>
  <c r="K8" i="6"/>
  <c r="J8" i="6"/>
  <c r="I8" i="6"/>
  <c r="H8" i="6"/>
  <c r="G8" i="6"/>
  <c r="F8" i="6"/>
  <c r="E8" i="6"/>
  <c r="C8" i="6"/>
  <c r="B8" i="6"/>
  <c r="A8" i="6"/>
  <c r="L7" i="6"/>
  <c r="K7" i="6"/>
  <c r="J7" i="6"/>
  <c r="I7" i="6"/>
  <c r="H7" i="6"/>
  <c r="G7" i="6"/>
  <c r="F7" i="6"/>
  <c r="E7" i="6"/>
  <c r="C7" i="6"/>
  <c r="B7" i="6"/>
  <c r="A7" i="6"/>
  <c r="K6" i="6"/>
  <c r="J6" i="6"/>
  <c r="I6" i="6"/>
  <c r="H6" i="6"/>
  <c r="G6" i="6"/>
  <c r="F6" i="6"/>
  <c r="E6" i="6"/>
  <c r="C6" i="6"/>
  <c r="B6" i="6"/>
  <c r="A6" i="6"/>
  <c r="J5" i="6"/>
  <c r="I5" i="6"/>
  <c r="H5" i="6"/>
  <c r="G5" i="6"/>
  <c r="F5" i="6"/>
  <c r="E5" i="6"/>
  <c r="D5" i="6"/>
  <c r="C5" i="6"/>
  <c r="B5" i="6"/>
  <c r="A5" i="6"/>
  <c r="K4" i="6"/>
  <c r="J4" i="6"/>
  <c r="I4" i="6"/>
  <c r="H4" i="6"/>
  <c r="G4" i="6"/>
  <c r="F4" i="6"/>
  <c r="E4" i="6"/>
  <c r="C4" i="6"/>
  <c r="B4" i="6"/>
  <c r="A4" i="6"/>
  <c r="K3" i="6"/>
  <c r="J3" i="6"/>
  <c r="I3" i="6"/>
  <c r="H3" i="6"/>
  <c r="G3" i="6"/>
  <c r="F3" i="6"/>
  <c r="E3" i="6"/>
  <c r="C3" i="6"/>
  <c r="B3" i="6"/>
  <c r="A3" i="6"/>
  <c r="L2" i="6"/>
  <c r="K2" i="6"/>
  <c r="J2" i="6"/>
  <c r="I2" i="6"/>
  <c r="H2" i="6"/>
  <c r="G2" i="6"/>
  <c r="F2" i="6"/>
  <c r="E2" i="6"/>
  <c r="C2" i="6"/>
  <c r="B2" i="6"/>
  <c r="A2" i="6"/>
  <c r="I131" i="5" a="1"/>
  <c r="I131" i="5" s="1"/>
  <c r="F131" i="5" a="1"/>
  <c r="F131" i="5" s="1"/>
  <c r="I130" i="5" a="1"/>
  <c r="I130" i="5" s="1"/>
  <c r="F130" i="5" a="1"/>
  <c r="F130" i="5" s="1"/>
  <c r="I129" i="5" a="1"/>
  <c r="I129" i="5" s="1"/>
  <c r="F129" i="5" a="1"/>
  <c r="F129" i="5" s="1"/>
  <c r="I128" i="5" a="1"/>
  <c r="I128" i="5" s="1"/>
  <c r="F128" i="5" a="1"/>
  <c r="F128" i="5" s="1"/>
  <c r="I127" i="5" a="1"/>
  <c r="I127" i="5" s="1"/>
  <c r="F127" i="5" a="1"/>
  <c r="F127" i="5" s="1"/>
  <c r="I126" i="5" a="1"/>
  <c r="I126" i="5" s="1"/>
  <c r="F126" i="5" a="1"/>
  <c r="F126" i="5" s="1"/>
  <c r="I125" i="5" a="1"/>
  <c r="I125" i="5" s="1"/>
  <c r="F125" i="5" a="1"/>
  <c r="F125" i="5" s="1"/>
  <c r="I124" i="5" a="1"/>
  <c r="I124" i="5" s="1"/>
  <c r="F124" i="5" a="1"/>
  <c r="F124" i="5" s="1"/>
  <c r="I123" i="5" a="1"/>
  <c r="I123" i="5" s="1"/>
  <c r="F123" i="5" a="1"/>
  <c r="F123" i="5" s="1"/>
  <c r="I122" i="5" a="1"/>
  <c r="I122" i="5" s="1"/>
  <c r="F122" i="5" a="1"/>
  <c r="F122" i="5" s="1"/>
  <c r="I121" i="5" a="1"/>
  <c r="I121" i="5" s="1"/>
  <c r="F121" i="5" a="1"/>
  <c r="F121" i="5" s="1"/>
  <c r="I120" i="5" a="1"/>
  <c r="I120" i="5" s="1"/>
  <c r="F120" i="5" a="1"/>
  <c r="F120" i="5" s="1"/>
  <c r="I119" i="5" a="1"/>
  <c r="I119" i="5" s="1"/>
  <c r="F119" i="5" a="1"/>
  <c r="F119" i="5" s="1"/>
  <c r="I118" i="5" a="1"/>
  <c r="I118" i="5" s="1"/>
  <c r="F118" i="5" a="1"/>
  <c r="F118" i="5" s="1"/>
  <c r="I117" i="5" a="1"/>
  <c r="I117" i="5" s="1"/>
  <c r="F117" i="5" a="1"/>
  <c r="F117" i="5" s="1"/>
  <c r="I116" i="5" a="1"/>
  <c r="I116" i="5" s="1"/>
  <c r="F116" i="5" a="1"/>
  <c r="F116" i="5" s="1"/>
  <c r="I115" i="5" a="1"/>
  <c r="I115" i="5" s="1"/>
  <c r="F115" i="5" a="1"/>
  <c r="F115" i="5" s="1"/>
  <c r="I114" i="5" a="1"/>
  <c r="I114" i="5" s="1"/>
  <c r="F114" i="5" a="1"/>
  <c r="F114" i="5" s="1"/>
  <c r="I113" i="5" a="1"/>
  <c r="I113" i="5" s="1"/>
  <c r="F113" i="5" a="1"/>
  <c r="F113" i="5" s="1"/>
  <c r="I112" i="5" a="1"/>
  <c r="I112" i="5" s="1"/>
  <c r="F112" i="5" a="1"/>
  <c r="F112" i="5" s="1"/>
  <c r="I111" i="5" a="1"/>
  <c r="I111" i="5" s="1"/>
  <c r="F111" i="5" a="1"/>
  <c r="F111" i="5" s="1"/>
  <c r="I110" i="5" a="1"/>
  <c r="I110" i="5" s="1"/>
  <c r="F110" i="5" a="1"/>
  <c r="F110" i="5" s="1"/>
  <c r="I109" i="5" a="1"/>
  <c r="I109" i="5" s="1"/>
  <c r="F109" i="5" a="1"/>
  <c r="F109" i="5" s="1"/>
  <c r="I108" i="5" a="1"/>
  <c r="I108" i="5" s="1"/>
  <c r="F108" i="5" a="1"/>
  <c r="F108" i="5" s="1"/>
  <c r="I107" i="5" a="1"/>
  <c r="I107" i="5" s="1"/>
  <c r="F107" i="5" a="1"/>
  <c r="F107" i="5" s="1"/>
  <c r="I106" i="5" a="1"/>
  <c r="I106" i="5" s="1"/>
  <c r="F106" i="5" a="1"/>
  <c r="F106" i="5" s="1"/>
  <c r="I105" i="5" a="1"/>
  <c r="I105" i="5" s="1"/>
  <c r="F105" i="5" a="1"/>
  <c r="F105" i="5" s="1"/>
  <c r="I104" i="5" a="1"/>
  <c r="I104" i="5" s="1"/>
  <c r="F104" i="5" a="1"/>
  <c r="F104" i="5" s="1"/>
  <c r="I103" i="5" a="1"/>
  <c r="I103" i="5" s="1"/>
  <c r="F103" i="5" a="1"/>
  <c r="F103" i="5" s="1"/>
  <c r="I102" i="5" a="1"/>
  <c r="I102" i="5" s="1"/>
  <c r="F102" i="5" a="1"/>
  <c r="F102" i="5" s="1"/>
  <c r="I101" i="5" a="1"/>
  <c r="I101" i="5" s="1"/>
  <c r="F101" i="5" a="1"/>
  <c r="F101" i="5" s="1"/>
  <c r="I100" i="5" a="1"/>
  <c r="I100" i="5" s="1"/>
  <c r="F100" i="5" a="1"/>
  <c r="F100" i="5" s="1"/>
  <c r="I99" i="5" a="1"/>
  <c r="I99" i="5" s="1"/>
  <c r="F99" i="5" a="1"/>
  <c r="F99" i="5" s="1"/>
  <c r="I98" i="5" a="1"/>
  <c r="I98" i="5" s="1"/>
  <c r="F98" i="5" a="1"/>
  <c r="F98" i="5" s="1"/>
  <c r="I97" i="5" a="1"/>
  <c r="I97" i="5" s="1"/>
  <c r="F97" i="5" a="1"/>
  <c r="F97" i="5" s="1"/>
  <c r="I96" i="5" a="1"/>
  <c r="I96" i="5" s="1"/>
  <c r="F96" i="5" a="1"/>
  <c r="F96" i="5" s="1"/>
  <c r="I95" i="5" a="1"/>
  <c r="I95" i="5" s="1"/>
  <c r="F95" i="5" a="1"/>
  <c r="F95" i="5" s="1"/>
  <c r="I94" i="5" a="1"/>
  <c r="I94" i="5" s="1"/>
  <c r="F94" i="5" a="1"/>
  <c r="F94" i="5" s="1"/>
  <c r="I93" i="5" a="1"/>
  <c r="I93" i="5" s="1"/>
  <c r="F93" i="5" a="1"/>
  <c r="F93" i="5" s="1"/>
  <c r="I92" i="5" a="1"/>
  <c r="I92" i="5" s="1"/>
  <c r="F92" i="5" a="1"/>
  <c r="F92" i="5" s="1"/>
  <c r="I91" i="5" a="1"/>
  <c r="I91" i="5" s="1"/>
  <c r="F91" i="5" a="1"/>
  <c r="F91" i="5" s="1"/>
  <c r="I90" i="5" a="1"/>
  <c r="I90" i="5" s="1"/>
  <c r="F90" i="5" a="1"/>
  <c r="F90" i="5" s="1"/>
  <c r="I89" i="5" a="1"/>
  <c r="I89" i="5" s="1"/>
  <c r="F89" i="5" a="1"/>
  <c r="F89" i="5" s="1"/>
  <c r="I88" i="5" a="1"/>
  <c r="I88" i="5" s="1"/>
  <c r="F88" i="5" a="1"/>
  <c r="F88" i="5" s="1"/>
  <c r="I87" i="5" a="1"/>
  <c r="I87" i="5" s="1"/>
  <c r="F87" i="5" a="1"/>
  <c r="F87" i="5" s="1"/>
  <c r="I86" i="5" a="1"/>
  <c r="I86" i="5" s="1"/>
  <c r="F86" i="5" a="1"/>
  <c r="F86" i="5" s="1"/>
  <c r="I85" i="5" a="1"/>
  <c r="I85" i="5" s="1"/>
  <c r="F85" i="5" a="1"/>
  <c r="F85" i="5" s="1"/>
  <c r="I84" i="5" a="1"/>
  <c r="I84" i="5" s="1"/>
  <c r="F84" i="5" a="1"/>
  <c r="F84" i="5" s="1"/>
  <c r="I83" i="5" a="1"/>
  <c r="I83" i="5" s="1"/>
  <c r="F83" i="5" a="1"/>
  <c r="F83" i="5" s="1"/>
  <c r="I82" i="5" a="1"/>
  <c r="I82" i="5" s="1"/>
  <c r="F82" i="5" a="1"/>
  <c r="F82" i="5" s="1"/>
  <c r="I81" i="5" a="1"/>
  <c r="I81" i="5" s="1"/>
  <c r="F81" i="5" a="1"/>
  <c r="F81" i="5" s="1"/>
  <c r="I80" i="5" a="1"/>
  <c r="I80" i="5" s="1"/>
  <c r="F80" i="5" a="1"/>
  <c r="F80" i="5" s="1"/>
  <c r="I79" i="5" a="1"/>
  <c r="I79" i="5" s="1"/>
  <c r="F79" i="5" a="1"/>
  <c r="F79" i="5" s="1"/>
  <c r="I78" i="5" a="1"/>
  <c r="I78" i="5" s="1"/>
  <c r="F78" i="5" a="1"/>
  <c r="F78" i="5" s="1"/>
  <c r="I77" i="5" a="1"/>
  <c r="I77" i="5" s="1"/>
  <c r="F77" i="5" a="1"/>
  <c r="F77" i="5" s="1"/>
  <c r="I76" i="5" a="1"/>
  <c r="I76" i="5" s="1"/>
  <c r="F76" i="5" a="1"/>
  <c r="F76" i="5" s="1"/>
  <c r="I75" i="5" a="1"/>
  <c r="I75" i="5" s="1"/>
  <c r="F75" i="5" a="1"/>
  <c r="F75" i="5" s="1"/>
  <c r="I74" i="5" a="1"/>
  <c r="I74" i="5" s="1"/>
  <c r="F74" i="5" a="1"/>
  <c r="F74" i="5" s="1"/>
  <c r="I73" i="5" a="1"/>
  <c r="I73" i="5" s="1"/>
  <c r="F73" i="5" a="1"/>
  <c r="F73" i="5" s="1"/>
  <c r="I72" i="5" a="1"/>
  <c r="I72" i="5" s="1"/>
  <c r="F72" i="5" a="1"/>
  <c r="F72" i="5" s="1"/>
  <c r="I71" i="5" a="1"/>
  <c r="I71" i="5" s="1"/>
  <c r="F71" i="5" a="1"/>
  <c r="F71" i="5" s="1"/>
  <c r="I70" i="5" a="1"/>
  <c r="I70" i="5" s="1"/>
  <c r="F70" i="5" a="1"/>
  <c r="F70" i="5" s="1"/>
  <c r="I69" i="5" a="1"/>
  <c r="I69" i="5" s="1"/>
  <c r="F69" i="5" a="1"/>
  <c r="F69" i="5" s="1"/>
  <c r="I68" i="5" a="1"/>
  <c r="I68" i="5" s="1"/>
  <c r="F68" i="5" a="1"/>
  <c r="F68" i="5" s="1"/>
  <c r="I67" i="5" a="1"/>
  <c r="I67" i="5" s="1"/>
  <c r="F67" i="5" a="1"/>
  <c r="F67" i="5" s="1"/>
  <c r="I66" i="5" a="1"/>
  <c r="I66" i="5" s="1"/>
  <c r="F66" i="5" a="1"/>
  <c r="F66" i="5" s="1"/>
  <c r="I65" i="5" a="1"/>
  <c r="I65" i="5" s="1"/>
  <c r="F65" i="5" a="1"/>
  <c r="F65" i="5" s="1"/>
  <c r="I64" i="5" a="1"/>
  <c r="I64" i="5" s="1"/>
  <c r="F64" i="5" a="1"/>
  <c r="F64" i="5" s="1"/>
  <c r="I63" i="5" a="1"/>
  <c r="I63" i="5" s="1"/>
  <c r="F63" i="5" a="1"/>
  <c r="F63" i="5" s="1"/>
  <c r="I62" i="5" a="1"/>
  <c r="I62" i="5" s="1"/>
  <c r="F62" i="5" a="1"/>
  <c r="F62" i="5" s="1"/>
  <c r="I61" i="5" a="1"/>
  <c r="I61" i="5" s="1"/>
  <c r="F61" i="5" a="1"/>
  <c r="F61" i="5" s="1"/>
  <c r="I60" i="5" a="1"/>
  <c r="I60" i="5" s="1"/>
  <c r="F60" i="5" a="1"/>
  <c r="F60" i="5" s="1"/>
  <c r="I59" i="5" a="1"/>
  <c r="I59" i="5" s="1"/>
  <c r="F59" i="5" a="1"/>
  <c r="F59" i="5" s="1"/>
  <c r="I58" i="5" a="1"/>
  <c r="I58" i="5" s="1"/>
  <c r="F58" i="5" a="1"/>
  <c r="F58" i="5" s="1"/>
  <c r="I57" i="5" a="1"/>
  <c r="I57" i="5" s="1"/>
  <c r="F57" i="5" a="1"/>
  <c r="F57" i="5" s="1"/>
  <c r="I56" i="5" a="1"/>
  <c r="I56" i="5" s="1"/>
  <c r="F56" i="5" a="1"/>
  <c r="F56" i="5" s="1"/>
  <c r="I55" i="5" a="1"/>
  <c r="I55" i="5" s="1"/>
  <c r="F55" i="5" a="1"/>
  <c r="F55" i="5" s="1"/>
  <c r="I54" i="5" a="1"/>
  <c r="I54" i="5" s="1"/>
  <c r="F54" i="5" a="1"/>
  <c r="F54" i="5" s="1"/>
  <c r="I53" i="5" a="1"/>
  <c r="I53" i="5" s="1"/>
  <c r="F53" i="5" a="1"/>
  <c r="F53" i="5" s="1"/>
  <c r="I52" i="5" a="1"/>
  <c r="I52" i="5" s="1"/>
  <c r="F52" i="5" a="1"/>
  <c r="F52" i="5" s="1"/>
  <c r="I51" i="5" a="1"/>
  <c r="I51" i="5" s="1"/>
  <c r="F51" i="5" a="1"/>
  <c r="F51" i="5" s="1"/>
  <c r="I50" i="5" a="1"/>
  <c r="I50" i="5" s="1"/>
  <c r="F50" i="5" a="1"/>
  <c r="F50" i="5" s="1"/>
  <c r="I49" i="5" a="1"/>
  <c r="I49" i="5" s="1"/>
  <c r="F49" i="5" a="1"/>
  <c r="F49" i="5" s="1"/>
  <c r="I48" i="5" a="1"/>
  <c r="I48" i="5" s="1"/>
  <c r="F48" i="5" a="1"/>
  <c r="F48" i="5" s="1"/>
  <c r="I47" i="5" a="1"/>
  <c r="I47" i="5" s="1"/>
  <c r="F47" i="5" a="1"/>
  <c r="F47" i="5" s="1"/>
  <c r="I46" i="5" a="1"/>
  <c r="I46" i="5" s="1"/>
  <c r="F46" i="5" a="1"/>
  <c r="F46" i="5" s="1"/>
  <c r="I45" i="5" a="1"/>
  <c r="I45" i="5" s="1"/>
  <c r="F45" i="5" a="1"/>
  <c r="F45" i="5" s="1"/>
  <c r="I44" i="5" a="1"/>
  <c r="I44" i="5" s="1"/>
  <c r="F44" i="5" a="1"/>
  <c r="F44" i="5" s="1"/>
  <c r="I43" i="5" a="1"/>
  <c r="I43" i="5" s="1"/>
  <c r="F43" i="5" a="1"/>
  <c r="F43" i="5" s="1"/>
  <c r="I42" i="5" a="1"/>
  <c r="I42" i="5" s="1"/>
  <c r="F42" i="5" a="1"/>
  <c r="F42" i="5" s="1"/>
  <c r="I41" i="5" a="1"/>
  <c r="I41" i="5" s="1"/>
  <c r="F41" i="5" a="1"/>
  <c r="F41" i="5" s="1"/>
  <c r="I40" i="5" a="1"/>
  <c r="I40" i="5" s="1"/>
  <c r="F40" i="5" a="1"/>
  <c r="F40" i="5" s="1"/>
  <c r="I39" i="5" a="1"/>
  <c r="I39" i="5" s="1"/>
  <c r="F39" i="5" a="1"/>
  <c r="F39" i="5" s="1"/>
  <c r="I38" i="5" a="1"/>
  <c r="AI38" i="5" s="1"/>
  <c r="F38" i="5" a="1"/>
  <c r="E38" i="5"/>
  <c r="D38" i="5"/>
  <c r="C38" i="5"/>
  <c r="B38" i="5"/>
  <c r="A38" i="5"/>
  <c r="I37" i="5" a="1"/>
  <c r="AH37" i="5" s="1"/>
  <c r="F37" i="5" a="1"/>
  <c r="H37" i="5" s="1"/>
  <c r="E37" i="5"/>
  <c r="D37" i="5"/>
  <c r="C37" i="5"/>
  <c r="B37" i="5"/>
  <c r="A37" i="5"/>
  <c r="I36" i="5" a="1"/>
  <c r="F36" i="5" a="1"/>
  <c r="G36" i="5" s="1"/>
  <c r="E36" i="5"/>
  <c r="D36" i="5"/>
  <c r="C36" i="5"/>
  <c r="B36" i="5"/>
  <c r="A36" i="5"/>
  <c r="I35" i="5" a="1"/>
  <c r="F35" i="5" a="1"/>
  <c r="H35" i="5" s="1"/>
  <c r="E35" i="5"/>
  <c r="D35" i="5"/>
  <c r="C35" i="5"/>
  <c r="B35" i="5"/>
  <c r="A35" i="5"/>
  <c r="I34" i="5" a="1"/>
  <c r="AC34" i="5" s="1"/>
  <c r="F34" i="5" a="1"/>
  <c r="F34" i="5" s="1"/>
  <c r="E34" i="5"/>
  <c r="D34" i="5"/>
  <c r="C34" i="5"/>
  <c r="B34" i="5"/>
  <c r="A34" i="5"/>
  <c r="I33" i="5" a="1"/>
  <c r="AE33" i="5" s="1"/>
  <c r="F33" i="5" a="1"/>
  <c r="H33" i="5" s="1"/>
  <c r="E33" i="5"/>
  <c r="D33" i="5"/>
  <c r="C33" i="5"/>
  <c r="B33" i="5"/>
  <c r="A33" i="5"/>
  <c r="I32" i="5" a="1"/>
  <c r="F32" i="5" a="1"/>
  <c r="F32" i="5" s="1"/>
  <c r="E32" i="5"/>
  <c r="D32" i="5"/>
  <c r="C32" i="5"/>
  <c r="B32" i="5"/>
  <c r="A32" i="5"/>
  <c r="I31" i="5" a="1"/>
  <c r="AB31" i="5" s="1"/>
  <c r="F31" i="5" a="1"/>
  <c r="H31" i="5" s="1"/>
  <c r="E31" i="5"/>
  <c r="D31" i="5"/>
  <c r="C31" i="5"/>
  <c r="B31" i="5"/>
  <c r="A31" i="5"/>
  <c r="I30" i="5" a="1"/>
  <c r="F30" i="5" a="1"/>
  <c r="E30" i="5"/>
  <c r="D30" i="5"/>
  <c r="C30" i="5"/>
  <c r="B30" i="5"/>
  <c r="A30" i="5"/>
  <c r="I29" i="5" a="1"/>
  <c r="AI29" i="5" s="1"/>
  <c r="F29" i="5" a="1"/>
  <c r="E29" i="5"/>
  <c r="D29" i="5"/>
  <c r="C29" i="5"/>
  <c r="B29" i="5"/>
  <c r="A29" i="5"/>
  <c r="I28" i="5" a="1"/>
  <c r="AD28" i="5" s="1"/>
  <c r="F28" i="5" a="1"/>
  <c r="G28" i="5" s="1"/>
  <c r="E28" i="5"/>
  <c r="D28" i="5"/>
  <c r="C28" i="5"/>
  <c r="B28" i="5"/>
  <c r="A28" i="5"/>
  <c r="I27" i="5" a="1"/>
  <c r="AI27" i="5" s="1"/>
  <c r="F27" i="5" a="1"/>
  <c r="F27" i="5" s="1"/>
  <c r="E27" i="5"/>
  <c r="D27" i="5"/>
  <c r="C27" i="5"/>
  <c r="B27" i="5"/>
  <c r="A27" i="5"/>
  <c r="I26" i="5" a="1"/>
  <c r="AG26" i="5" s="1"/>
  <c r="F26" i="5" a="1"/>
  <c r="G26" i="5" s="1"/>
  <c r="E26" i="5"/>
  <c r="D26" i="5"/>
  <c r="C26" i="5"/>
  <c r="B26" i="5"/>
  <c r="A26" i="5"/>
  <c r="I25" i="5" a="1"/>
  <c r="V25" i="5" s="1"/>
  <c r="F25" i="5" a="1"/>
  <c r="H25" i="5" s="1"/>
  <c r="E25" i="5"/>
  <c r="D25" i="5"/>
  <c r="C25" i="5"/>
  <c r="B25" i="5"/>
  <c r="A25" i="5"/>
  <c r="I24" i="5" a="1"/>
  <c r="AH24" i="5" s="1"/>
  <c r="F24" i="5" a="1"/>
  <c r="F24" i="5" s="1"/>
  <c r="E24" i="5"/>
  <c r="D24" i="5"/>
  <c r="C24" i="5"/>
  <c r="B24" i="5"/>
  <c r="A24" i="5"/>
  <c r="I23" i="5" a="1"/>
  <c r="AB23" i="5" s="1"/>
  <c r="F23" i="5" a="1"/>
  <c r="F23" i="5" s="1"/>
  <c r="E23" i="5"/>
  <c r="D23" i="5"/>
  <c r="C23" i="5"/>
  <c r="B23" i="5"/>
  <c r="A23" i="5"/>
  <c r="I22" i="5" a="1"/>
  <c r="AG22" i="5" s="1"/>
  <c r="F22" i="5" a="1"/>
  <c r="E22" i="5"/>
  <c r="D22" i="5"/>
  <c r="C22" i="5"/>
  <c r="B22" i="5"/>
  <c r="A22" i="5"/>
  <c r="I21" i="5" a="1"/>
  <c r="AG21" i="5" s="1"/>
  <c r="F21" i="5" a="1"/>
  <c r="F21" i="5" s="1"/>
  <c r="E21" i="5"/>
  <c r="D21" i="5"/>
  <c r="C21" i="5"/>
  <c r="B21" i="5"/>
  <c r="A21" i="5"/>
  <c r="I20" i="5" a="1"/>
  <c r="AD20" i="5" s="1"/>
  <c r="F20" i="5" a="1"/>
  <c r="H20" i="5" s="1"/>
  <c r="E20" i="5"/>
  <c r="D20" i="5"/>
  <c r="C20" i="5"/>
  <c r="B20" i="5"/>
  <c r="A20" i="5"/>
  <c r="I19" i="5" a="1"/>
  <c r="Q19" i="5" s="1"/>
  <c r="F19" i="5" a="1"/>
  <c r="H19" i="5" s="1"/>
  <c r="E19" i="5"/>
  <c r="D19" i="5"/>
  <c r="C19" i="5"/>
  <c r="B19" i="5"/>
  <c r="A19" i="5"/>
  <c r="I18" i="5" a="1"/>
  <c r="N18" i="5" s="1"/>
  <c r="F18" i="5" a="1"/>
  <c r="H18" i="5" s="1"/>
  <c r="E18" i="5"/>
  <c r="D18" i="5"/>
  <c r="C18" i="5"/>
  <c r="B18" i="5"/>
  <c r="A18" i="5"/>
  <c r="I17" i="5" a="1"/>
  <c r="AG17" i="5" s="1"/>
  <c r="F17" i="5" a="1"/>
  <c r="E17" i="5"/>
  <c r="D17" i="5"/>
  <c r="C17" i="5"/>
  <c r="B17" i="5"/>
  <c r="A17" i="5"/>
  <c r="I16" i="5" a="1"/>
  <c r="AH16" i="5" s="1"/>
  <c r="F16" i="5" a="1"/>
  <c r="H16" i="5" s="1"/>
  <c r="E16" i="5"/>
  <c r="D16" i="5"/>
  <c r="C16" i="5"/>
  <c r="B16" i="5"/>
  <c r="A16" i="5"/>
  <c r="I15" i="5" a="1"/>
  <c r="Y15" i="5" s="1"/>
  <c r="F15" i="5" a="1"/>
  <c r="F15" i="5" s="1"/>
  <c r="E15" i="5"/>
  <c r="D15" i="5"/>
  <c r="C15" i="5"/>
  <c r="B15" i="5"/>
  <c r="A15" i="5"/>
  <c r="I14" i="5" a="1"/>
  <c r="X14" i="5" s="1"/>
  <c r="F14" i="5" a="1"/>
  <c r="F14" i="5" s="1"/>
  <c r="E14" i="5"/>
  <c r="D14" i="5"/>
  <c r="C14" i="5"/>
  <c r="B14" i="5"/>
  <c r="A14" i="5"/>
  <c r="I13" i="5" a="1"/>
  <c r="AG13" i="5" s="1"/>
  <c r="F13" i="5" a="1"/>
  <c r="E13" i="5"/>
  <c r="D13" i="5"/>
  <c r="C13" i="5"/>
  <c r="B13" i="5"/>
  <c r="A13" i="5"/>
  <c r="I12" i="5" a="1"/>
  <c r="J12" i="5" s="1"/>
  <c r="F12" i="5" a="1"/>
  <c r="G12" i="5" s="1"/>
  <c r="E12" i="5"/>
  <c r="D12" i="5"/>
  <c r="C12" i="5"/>
  <c r="B12" i="5"/>
  <c r="A12" i="5"/>
  <c r="I11" i="5" a="1"/>
  <c r="AG11" i="5" s="1"/>
  <c r="F11" i="5" a="1"/>
  <c r="F11" i="5" s="1"/>
  <c r="E11" i="5"/>
  <c r="D11" i="5"/>
  <c r="C11" i="5"/>
  <c r="B11" i="5"/>
  <c r="A11" i="5"/>
  <c r="I10" i="5" a="1"/>
  <c r="AB10" i="5" s="1"/>
  <c r="F10" i="5" a="1"/>
  <c r="F10" i="5" s="1"/>
  <c r="E10" i="5"/>
  <c r="D10" i="5"/>
  <c r="C10" i="5"/>
  <c r="B10" i="5"/>
  <c r="A10" i="5"/>
  <c r="I9" i="5" a="1"/>
  <c r="AG9" i="5" s="1"/>
  <c r="F9" i="5" a="1"/>
  <c r="F9" i="5" s="1"/>
  <c r="E9" i="5"/>
  <c r="D9" i="5"/>
  <c r="C9" i="5"/>
  <c r="B9" i="5"/>
  <c r="A9" i="5"/>
  <c r="I8" i="5" a="1"/>
  <c r="AH8" i="5" s="1"/>
  <c r="F8" i="5" a="1"/>
  <c r="E8" i="5"/>
  <c r="D8" i="5"/>
  <c r="C8" i="5"/>
  <c r="B8" i="5"/>
  <c r="A8" i="5"/>
  <c r="I7" i="5" a="1"/>
  <c r="F7" i="5" a="1"/>
  <c r="E7" i="5"/>
  <c r="D7" i="5"/>
  <c r="C7" i="5"/>
  <c r="B7" i="5"/>
  <c r="A7" i="5"/>
  <c r="I6" i="5" a="1"/>
  <c r="AD6" i="5" s="1"/>
  <c r="F6" i="5" a="1"/>
  <c r="E6" i="5"/>
  <c r="D6" i="5"/>
  <c r="C6" i="5"/>
  <c r="B6" i="5"/>
  <c r="A6" i="5"/>
  <c r="I5" i="5" a="1"/>
  <c r="AG5" i="5" s="1"/>
  <c r="F5" i="5" a="1"/>
  <c r="E5" i="5"/>
  <c r="D5" i="5"/>
  <c r="C5" i="5"/>
  <c r="B5" i="5"/>
  <c r="A5" i="5"/>
  <c r="I4" i="5" a="1"/>
  <c r="F4" i="5" a="1"/>
  <c r="E4" i="5"/>
  <c r="D4" i="5"/>
  <c r="C4" i="5"/>
  <c r="B4" i="5"/>
  <c r="A4" i="5"/>
  <c r="I3" i="5" a="1"/>
  <c r="AG3" i="5" s="1"/>
  <c r="F3" i="5" a="1"/>
  <c r="F3" i="5" s="1"/>
  <c r="E3" i="5"/>
  <c r="D3" i="5"/>
  <c r="C3" i="5"/>
  <c r="B3" i="5"/>
  <c r="A3" i="5"/>
  <c r="I2" i="5" a="1"/>
  <c r="AD2" i="5" s="1"/>
  <c r="F2" i="5" a="1"/>
  <c r="F2" i="5" s="1"/>
  <c r="E2" i="5"/>
  <c r="D2" i="5"/>
  <c r="C2" i="5"/>
  <c r="B2" i="5"/>
  <c r="A2" i="5"/>
  <c r="B1000" i="4" a="1"/>
  <c r="B1000" i="4" s="1"/>
  <c r="B999" i="4" a="1"/>
  <c r="B999" i="4" s="1"/>
  <c r="B998" i="4" a="1"/>
  <c r="B998" i="4" s="1"/>
  <c r="B997" i="4" a="1"/>
  <c r="B997" i="4" s="1"/>
  <c r="B996" i="4" a="1"/>
  <c r="B996" i="4" s="1"/>
  <c r="B995" i="4" a="1"/>
  <c r="B995" i="4" s="1"/>
  <c r="B994" i="4" a="1"/>
  <c r="B994" i="4" s="1"/>
  <c r="B993" i="4" a="1"/>
  <c r="B993" i="4" s="1"/>
  <c r="B992" i="4" a="1"/>
  <c r="B992" i="4" s="1"/>
  <c r="B991" i="4" a="1"/>
  <c r="B991" i="4" s="1"/>
  <c r="B990" i="4" a="1"/>
  <c r="B990" i="4" s="1"/>
  <c r="B989" i="4" a="1"/>
  <c r="B989" i="4" s="1"/>
  <c r="B988" i="4" a="1"/>
  <c r="B988" i="4" s="1"/>
  <c r="B987" i="4" a="1"/>
  <c r="B987" i="4" s="1"/>
  <c r="B986" i="4" a="1"/>
  <c r="B986" i="4" s="1"/>
  <c r="B985" i="4" a="1"/>
  <c r="B985" i="4" s="1"/>
  <c r="B984" i="4" a="1"/>
  <c r="B984" i="4" s="1"/>
  <c r="B983" i="4" a="1"/>
  <c r="B983" i="4" s="1"/>
  <c r="B982" i="4" a="1"/>
  <c r="B982" i="4" s="1"/>
  <c r="B981" i="4" a="1"/>
  <c r="B981" i="4" s="1"/>
  <c r="B980" i="4" a="1"/>
  <c r="B980" i="4" s="1"/>
  <c r="B979" i="4" a="1"/>
  <c r="B979" i="4" s="1"/>
  <c r="B978" i="4" a="1"/>
  <c r="B978" i="4" s="1"/>
  <c r="B977" i="4" a="1"/>
  <c r="B977" i="4" s="1"/>
  <c r="B976" i="4" a="1"/>
  <c r="B976" i="4" s="1"/>
  <c r="B975" i="4" a="1"/>
  <c r="B975" i="4" s="1"/>
  <c r="B974" i="4" a="1"/>
  <c r="B974" i="4" s="1"/>
  <c r="B973" i="4" a="1"/>
  <c r="B973" i="4" s="1"/>
  <c r="B972" i="4" a="1"/>
  <c r="B972" i="4" s="1"/>
  <c r="B971" i="4" a="1"/>
  <c r="B971" i="4" s="1"/>
  <c r="B970" i="4" a="1"/>
  <c r="B970" i="4" s="1"/>
  <c r="B969" i="4" a="1"/>
  <c r="B969" i="4" s="1"/>
  <c r="B968" i="4" a="1"/>
  <c r="B968" i="4" s="1"/>
  <c r="B967" i="4" a="1"/>
  <c r="B967" i="4" s="1"/>
  <c r="B966" i="4" a="1"/>
  <c r="B966" i="4" s="1"/>
  <c r="B965" i="4" a="1"/>
  <c r="B965" i="4" s="1"/>
  <c r="B964" i="4" a="1"/>
  <c r="B964" i="4" s="1"/>
  <c r="B963" i="4" a="1"/>
  <c r="B963" i="4" s="1"/>
  <c r="B962" i="4" a="1"/>
  <c r="B962" i="4" s="1"/>
  <c r="B961" i="4" a="1"/>
  <c r="B961" i="4" s="1"/>
  <c r="B960" i="4" a="1"/>
  <c r="B960" i="4" s="1"/>
  <c r="B959" i="4" a="1"/>
  <c r="B959" i="4" s="1"/>
  <c r="B958" i="4" a="1"/>
  <c r="B958" i="4" s="1"/>
  <c r="B957" i="4" a="1"/>
  <c r="B957" i="4" s="1"/>
  <c r="B956" i="4" a="1"/>
  <c r="B956" i="4" s="1"/>
  <c r="B955" i="4" a="1"/>
  <c r="B955" i="4" s="1"/>
  <c r="B954" i="4" a="1"/>
  <c r="B954" i="4" s="1"/>
  <c r="B953" i="4" a="1"/>
  <c r="B953" i="4" s="1"/>
  <c r="B952" i="4" a="1"/>
  <c r="B952" i="4" s="1"/>
  <c r="B951" i="4" a="1"/>
  <c r="B951" i="4" s="1"/>
  <c r="B950" i="4" a="1"/>
  <c r="B950" i="4" s="1"/>
  <c r="B949" i="4" a="1"/>
  <c r="B949" i="4" s="1"/>
  <c r="B948" i="4" a="1"/>
  <c r="B948" i="4" s="1"/>
  <c r="B947" i="4" a="1"/>
  <c r="B947" i="4" s="1"/>
  <c r="B946" i="4" a="1"/>
  <c r="B946" i="4" s="1"/>
  <c r="B945" i="4" a="1"/>
  <c r="B945" i="4" s="1"/>
  <c r="B944" i="4" a="1"/>
  <c r="B944" i="4" s="1"/>
  <c r="B943" i="4" a="1"/>
  <c r="B943" i="4" s="1"/>
  <c r="B942" i="4" a="1"/>
  <c r="B942" i="4" s="1"/>
  <c r="B941" i="4" a="1"/>
  <c r="B941" i="4" s="1"/>
  <c r="B940" i="4" a="1"/>
  <c r="B940" i="4" s="1"/>
  <c r="B939" i="4" a="1"/>
  <c r="B939" i="4" s="1"/>
  <c r="B938" i="4" a="1"/>
  <c r="B938" i="4" s="1"/>
  <c r="B937" i="4" a="1"/>
  <c r="B937" i="4" s="1"/>
  <c r="B936" i="4" a="1"/>
  <c r="B936" i="4" s="1"/>
  <c r="B935" i="4" a="1"/>
  <c r="B935" i="4" s="1"/>
  <c r="B934" i="4" a="1"/>
  <c r="B934" i="4" s="1"/>
  <c r="B933" i="4" a="1"/>
  <c r="B933" i="4" s="1"/>
  <c r="B932" i="4" a="1"/>
  <c r="B932" i="4" s="1"/>
  <c r="B931" i="4" a="1"/>
  <c r="B931" i="4" s="1"/>
  <c r="B930" i="4" a="1"/>
  <c r="B930" i="4" s="1"/>
  <c r="B929" i="4" a="1"/>
  <c r="B929" i="4" s="1"/>
  <c r="B928" i="4" a="1"/>
  <c r="B928" i="4" s="1"/>
  <c r="B927" i="4" a="1"/>
  <c r="B927" i="4" s="1"/>
  <c r="B926" i="4" a="1"/>
  <c r="B926" i="4" s="1"/>
  <c r="B925" i="4" a="1"/>
  <c r="B925" i="4" s="1"/>
  <c r="B924" i="4" a="1"/>
  <c r="B924" i="4" s="1"/>
  <c r="B923" i="4" a="1"/>
  <c r="B923" i="4" s="1"/>
  <c r="B922" i="4" a="1"/>
  <c r="B922" i="4" s="1"/>
  <c r="B921" i="4" a="1"/>
  <c r="B921" i="4" s="1"/>
  <c r="B920" i="4" a="1"/>
  <c r="B920" i="4" s="1"/>
  <c r="B919" i="4" a="1"/>
  <c r="B919" i="4" s="1"/>
  <c r="B918" i="4" a="1"/>
  <c r="B918" i="4" s="1"/>
  <c r="B917" i="4" a="1"/>
  <c r="B917" i="4" s="1"/>
  <c r="B916" i="4" a="1"/>
  <c r="B916" i="4" s="1"/>
  <c r="B915" i="4" a="1"/>
  <c r="B915" i="4" s="1"/>
  <c r="B914" i="4" a="1"/>
  <c r="B914" i="4" s="1"/>
  <c r="B913" i="4" a="1"/>
  <c r="B913" i="4" s="1"/>
  <c r="B912" i="4" a="1"/>
  <c r="B912" i="4" s="1"/>
  <c r="B911" i="4" a="1"/>
  <c r="B911" i="4" s="1"/>
  <c r="B910" i="4" a="1"/>
  <c r="B910" i="4" s="1"/>
  <c r="B909" i="4" a="1"/>
  <c r="B909" i="4" s="1"/>
  <c r="B908" i="4" a="1"/>
  <c r="B908" i="4" s="1"/>
  <c r="B907" i="4" a="1"/>
  <c r="B907" i="4" s="1"/>
  <c r="B906" i="4" a="1"/>
  <c r="B906" i="4" s="1"/>
  <c r="B905" i="4" a="1"/>
  <c r="B905" i="4" s="1"/>
  <c r="B904" i="4" a="1"/>
  <c r="B904" i="4" s="1"/>
  <c r="B903" i="4" a="1"/>
  <c r="B903" i="4" s="1"/>
  <c r="B902" i="4" a="1"/>
  <c r="B902" i="4" s="1"/>
  <c r="B901" i="4" a="1"/>
  <c r="B901" i="4" s="1"/>
  <c r="B900" i="4" a="1"/>
  <c r="B900" i="4" s="1"/>
  <c r="B899" i="4" a="1"/>
  <c r="B899" i="4" s="1"/>
  <c r="B898" i="4" a="1"/>
  <c r="B898" i="4" s="1"/>
  <c r="B897" i="4" a="1"/>
  <c r="B897" i="4" s="1"/>
  <c r="B896" i="4" a="1"/>
  <c r="B896" i="4" s="1"/>
  <c r="B895" i="4" a="1"/>
  <c r="B895" i="4" s="1"/>
  <c r="B894" i="4" a="1"/>
  <c r="B894" i="4" s="1"/>
  <c r="B893" i="4" a="1"/>
  <c r="B893" i="4" s="1"/>
  <c r="B892" i="4" a="1"/>
  <c r="B892" i="4" s="1"/>
  <c r="B891" i="4" a="1"/>
  <c r="B891" i="4" s="1"/>
  <c r="B890" i="4" a="1"/>
  <c r="B890" i="4" s="1"/>
  <c r="B889" i="4" a="1"/>
  <c r="B889" i="4" s="1"/>
  <c r="B888" i="4" a="1"/>
  <c r="B888" i="4" s="1"/>
  <c r="B887" i="4" a="1"/>
  <c r="B887" i="4" s="1"/>
  <c r="B886" i="4" a="1"/>
  <c r="B886" i="4" s="1"/>
  <c r="B885" i="4" a="1"/>
  <c r="B885" i="4" s="1"/>
  <c r="B884" i="4" a="1"/>
  <c r="B884" i="4" s="1"/>
  <c r="B883" i="4" a="1"/>
  <c r="B883" i="4" s="1"/>
  <c r="B882" i="4" a="1"/>
  <c r="B882" i="4" s="1"/>
  <c r="B881" i="4" a="1"/>
  <c r="B881" i="4" s="1"/>
  <c r="B880" i="4" a="1"/>
  <c r="B880" i="4" s="1"/>
  <c r="B879" i="4" a="1"/>
  <c r="B879" i="4" s="1"/>
  <c r="B878" i="4" a="1"/>
  <c r="B878" i="4" s="1"/>
  <c r="B877" i="4" a="1"/>
  <c r="B877" i="4" s="1"/>
  <c r="B876" i="4" a="1"/>
  <c r="B876" i="4" s="1"/>
  <c r="B875" i="4" a="1"/>
  <c r="B875" i="4" s="1"/>
  <c r="B874" i="4" a="1"/>
  <c r="B874" i="4" s="1"/>
  <c r="B873" i="4" a="1"/>
  <c r="B873" i="4" s="1"/>
  <c r="B872" i="4" a="1"/>
  <c r="B872" i="4" s="1"/>
  <c r="B871" i="4" a="1"/>
  <c r="B871" i="4" s="1"/>
  <c r="B870" i="4" a="1"/>
  <c r="B870" i="4" s="1"/>
  <c r="B869" i="4" a="1"/>
  <c r="B869" i="4" s="1"/>
  <c r="B868" i="4" a="1"/>
  <c r="B868" i="4" s="1"/>
  <c r="B867" i="4" a="1"/>
  <c r="B867" i="4" s="1"/>
  <c r="B866" i="4" a="1"/>
  <c r="B866" i="4" s="1"/>
  <c r="B865" i="4" a="1"/>
  <c r="B865" i="4" s="1"/>
  <c r="B864" i="4" a="1"/>
  <c r="B864" i="4" s="1"/>
  <c r="B863" i="4" a="1"/>
  <c r="B863" i="4" s="1"/>
  <c r="B862" i="4" a="1"/>
  <c r="B862" i="4" s="1"/>
  <c r="B861" i="4" a="1"/>
  <c r="B861" i="4" s="1"/>
  <c r="B860" i="4" a="1"/>
  <c r="B860" i="4" s="1"/>
  <c r="B859" i="4" a="1"/>
  <c r="B859" i="4" s="1"/>
  <c r="B858" i="4" a="1"/>
  <c r="B858" i="4" s="1"/>
  <c r="B857" i="4" a="1"/>
  <c r="B857" i="4" s="1"/>
  <c r="B856" i="4" a="1"/>
  <c r="B856" i="4" s="1"/>
  <c r="B855" i="4" a="1"/>
  <c r="B855" i="4" s="1"/>
  <c r="B854" i="4" a="1"/>
  <c r="B854" i="4" s="1"/>
  <c r="B853" i="4" a="1"/>
  <c r="B853" i="4" s="1"/>
  <c r="B852" i="4" a="1"/>
  <c r="B852" i="4" s="1"/>
  <c r="B851" i="4" a="1"/>
  <c r="B851" i="4" s="1"/>
  <c r="B850" i="4" a="1"/>
  <c r="B850" i="4" s="1"/>
  <c r="B849" i="4" a="1"/>
  <c r="B849" i="4" s="1"/>
  <c r="B848" i="4" a="1"/>
  <c r="B848" i="4" s="1"/>
  <c r="B847" i="4" a="1"/>
  <c r="B847" i="4" s="1"/>
  <c r="B846" i="4" a="1"/>
  <c r="B846" i="4" s="1"/>
  <c r="B845" i="4" a="1"/>
  <c r="B845" i="4" s="1"/>
  <c r="B844" i="4" a="1"/>
  <c r="B844" i="4" s="1"/>
  <c r="B843" i="4" a="1"/>
  <c r="B843" i="4" s="1"/>
  <c r="B842" i="4" a="1"/>
  <c r="B842" i="4" s="1"/>
  <c r="B841" i="4" a="1"/>
  <c r="B841" i="4" s="1"/>
  <c r="B840" i="4" a="1"/>
  <c r="B840" i="4" s="1"/>
  <c r="B839" i="4" a="1"/>
  <c r="B839" i="4" s="1"/>
  <c r="B838" i="4" a="1"/>
  <c r="B838" i="4" s="1"/>
  <c r="B837" i="4" a="1"/>
  <c r="B837" i="4" s="1"/>
  <c r="B836" i="4" a="1"/>
  <c r="B836" i="4" s="1"/>
  <c r="B835" i="4" a="1"/>
  <c r="B835" i="4" s="1"/>
  <c r="B834" i="4" a="1"/>
  <c r="B834" i="4" s="1"/>
  <c r="B833" i="4" a="1"/>
  <c r="B833" i="4" s="1"/>
  <c r="B832" i="4" a="1"/>
  <c r="B832" i="4" s="1"/>
  <c r="B831" i="4" a="1"/>
  <c r="B831" i="4" s="1"/>
  <c r="B830" i="4" a="1"/>
  <c r="B830" i="4" s="1"/>
  <c r="B829" i="4" a="1"/>
  <c r="B829" i="4" s="1"/>
  <c r="B828" i="4" a="1"/>
  <c r="B828" i="4" s="1"/>
  <c r="B827" i="4" a="1"/>
  <c r="B827" i="4" s="1"/>
  <c r="B826" i="4" a="1"/>
  <c r="B826" i="4" s="1"/>
  <c r="B825" i="4" a="1"/>
  <c r="B825" i="4" s="1"/>
  <c r="B824" i="4" a="1"/>
  <c r="B824" i="4" s="1"/>
  <c r="B823" i="4" a="1"/>
  <c r="B823" i="4" s="1"/>
  <c r="B822" i="4" a="1"/>
  <c r="B822" i="4" s="1"/>
  <c r="B821" i="4" a="1"/>
  <c r="B821" i="4" s="1"/>
  <c r="B820" i="4" a="1"/>
  <c r="B820" i="4" s="1"/>
  <c r="B819" i="4" a="1"/>
  <c r="B819" i="4" s="1"/>
  <c r="B818" i="4" a="1"/>
  <c r="B818" i="4" s="1"/>
  <c r="B817" i="4" a="1"/>
  <c r="B817" i="4" s="1"/>
  <c r="B816" i="4" a="1"/>
  <c r="B816" i="4" s="1"/>
  <c r="B815" i="4" a="1"/>
  <c r="B815" i="4" s="1"/>
  <c r="B814" i="4" a="1"/>
  <c r="B814" i="4" s="1"/>
  <c r="B813" i="4" a="1"/>
  <c r="B813" i="4" s="1"/>
  <c r="B812" i="4" a="1"/>
  <c r="B812" i="4" s="1"/>
  <c r="B811" i="4" a="1"/>
  <c r="B811" i="4" s="1"/>
  <c r="B810" i="4" a="1"/>
  <c r="B810" i="4" s="1"/>
  <c r="B809" i="4" a="1"/>
  <c r="B809" i="4" s="1"/>
  <c r="B808" i="4" a="1"/>
  <c r="B808" i="4" s="1"/>
  <c r="B807" i="4" a="1"/>
  <c r="B807" i="4" s="1"/>
  <c r="B806" i="4" a="1"/>
  <c r="B806" i="4" s="1"/>
  <c r="B805" i="4" a="1"/>
  <c r="B805" i="4" s="1"/>
  <c r="B804" i="4" a="1"/>
  <c r="B804" i="4" s="1"/>
  <c r="B803" i="4" a="1"/>
  <c r="B803" i="4" s="1"/>
  <c r="B802" i="4" a="1"/>
  <c r="B802" i="4" s="1"/>
  <c r="B801" i="4" a="1"/>
  <c r="B801" i="4" s="1"/>
  <c r="B800" i="4" a="1"/>
  <c r="B800" i="4" s="1"/>
  <c r="B799" i="4" a="1"/>
  <c r="B799" i="4" s="1"/>
  <c r="B798" i="4" a="1"/>
  <c r="B798" i="4" s="1"/>
  <c r="B797" i="4" a="1"/>
  <c r="B797" i="4" s="1"/>
  <c r="B796" i="4" a="1"/>
  <c r="B796" i="4" s="1"/>
  <c r="B795" i="4" a="1"/>
  <c r="B795" i="4" s="1"/>
  <c r="B794" i="4" a="1"/>
  <c r="B794" i="4" s="1"/>
  <c r="B793" i="4" a="1"/>
  <c r="B793" i="4" s="1"/>
  <c r="B792" i="4" a="1"/>
  <c r="B792" i="4" s="1"/>
  <c r="B791" i="4" a="1"/>
  <c r="B791" i="4" s="1"/>
  <c r="B790" i="4" a="1"/>
  <c r="B790" i="4" s="1"/>
  <c r="B789" i="4" a="1"/>
  <c r="B789" i="4" s="1"/>
  <c r="B788" i="4" a="1"/>
  <c r="B788" i="4" s="1"/>
  <c r="B787" i="4" a="1"/>
  <c r="B787" i="4" s="1"/>
  <c r="B786" i="4" a="1"/>
  <c r="B786" i="4" s="1"/>
  <c r="B785" i="4" a="1"/>
  <c r="B785" i="4" s="1"/>
  <c r="B784" i="4" a="1"/>
  <c r="B784" i="4" s="1"/>
  <c r="B783" i="4" a="1"/>
  <c r="B783" i="4" s="1"/>
  <c r="B782" i="4" a="1"/>
  <c r="B782" i="4" s="1"/>
  <c r="B781" i="4" a="1"/>
  <c r="B781" i="4" s="1"/>
  <c r="B780" i="4" a="1"/>
  <c r="B780" i="4" s="1"/>
  <c r="B779" i="4" a="1"/>
  <c r="B779" i="4" s="1"/>
  <c r="B778" i="4" a="1"/>
  <c r="B778" i="4" s="1"/>
  <c r="B777" i="4" a="1"/>
  <c r="B777" i="4" s="1"/>
  <c r="B776" i="4" a="1"/>
  <c r="B776" i="4" s="1"/>
  <c r="B775" i="4" a="1"/>
  <c r="B775" i="4" s="1"/>
  <c r="B774" i="4" a="1"/>
  <c r="B774" i="4" s="1"/>
  <c r="B773" i="4" a="1"/>
  <c r="B773" i="4" s="1"/>
  <c r="B772" i="4" a="1"/>
  <c r="B772" i="4" s="1"/>
  <c r="B771" i="4" a="1"/>
  <c r="B771" i="4" s="1"/>
  <c r="B770" i="4" a="1"/>
  <c r="B770" i="4" s="1"/>
  <c r="B769" i="4" a="1"/>
  <c r="B769" i="4" s="1"/>
  <c r="B768" i="4" a="1"/>
  <c r="B768" i="4" s="1"/>
  <c r="B767" i="4" a="1"/>
  <c r="B767" i="4" s="1"/>
  <c r="B766" i="4" a="1"/>
  <c r="B766" i="4" s="1"/>
  <c r="B765" i="4" a="1"/>
  <c r="B765" i="4" s="1"/>
  <c r="B764" i="4" a="1"/>
  <c r="B764" i="4" s="1"/>
  <c r="B763" i="4" a="1"/>
  <c r="B763" i="4" s="1"/>
  <c r="B762" i="4" a="1"/>
  <c r="B762" i="4" s="1"/>
  <c r="B761" i="4" a="1"/>
  <c r="B761" i="4" s="1"/>
  <c r="B760" i="4" a="1"/>
  <c r="B760" i="4" s="1"/>
  <c r="B759" i="4" a="1"/>
  <c r="B759" i="4" s="1"/>
  <c r="B758" i="4" a="1"/>
  <c r="B758" i="4" s="1"/>
  <c r="B757" i="4" a="1"/>
  <c r="B757" i="4" s="1"/>
  <c r="B756" i="4" a="1"/>
  <c r="B756" i="4" s="1"/>
  <c r="B755" i="4" a="1"/>
  <c r="B755" i="4" s="1"/>
  <c r="B754" i="4" a="1"/>
  <c r="B754" i="4" s="1"/>
  <c r="B753" i="4" a="1"/>
  <c r="B753" i="4" s="1"/>
  <c r="B752" i="4" a="1"/>
  <c r="B752" i="4" s="1"/>
  <c r="B751" i="4" a="1"/>
  <c r="B751" i="4" s="1"/>
  <c r="B750" i="4" a="1"/>
  <c r="B750" i="4" s="1"/>
  <c r="B749" i="4" a="1"/>
  <c r="B749" i="4" s="1"/>
  <c r="B748" i="4" a="1"/>
  <c r="B748" i="4" s="1"/>
  <c r="B747" i="4" a="1"/>
  <c r="B747" i="4" s="1"/>
  <c r="B746" i="4" a="1"/>
  <c r="B746" i="4" s="1"/>
  <c r="B745" i="4" a="1"/>
  <c r="B745" i="4" s="1"/>
  <c r="B744" i="4" a="1"/>
  <c r="B744" i="4" s="1"/>
  <c r="B743" i="4" a="1"/>
  <c r="B743" i="4" s="1"/>
  <c r="B742" i="4" a="1"/>
  <c r="B742" i="4" s="1"/>
  <c r="B741" i="4" a="1"/>
  <c r="B741" i="4" s="1"/>
  <c r="B740" i="4" a="1"/>
  <c r="B740" i="4" s="1"/>
  <c r="B739" i="4" a="1"/>
  <c r="B739" i="4" s="1"/>
  <c r="B738" i="4" a="1"/>
  <c r="B738" i="4" s="1"/>
  <c r="B737" i="4" a="1"/>
  <c r="B737" i="4" s="1"/>
  <c r="B736" i="4" a="1"/>
  <c r="B736" i="4" s="1"/>
  <c r="B735" i="4" a="1"/>
  <c r="B735" i="4" s="1"/>
  <c r="B734" i="4" a="1"/>
  <c r="B734" i="4" s="1"/>
  <c r="B733" i="4" a="1"/>
  <c r="B733" i="4" s="1"/>
  <c r="B732" i="4" a="1"/>
  <c r="B732" i="4" s="1"/>
  <c r="B731" i="4" a="1"/>
  <c r="B731" i="4" s="1"/>
  <c r="B730" i="4" a="1"/>
  <c r="B730" i="4" s="1"/>
  <c r="B729" i="4" a="1"/>
  <c r="B729" i="4" s="1"/>
  <c r="B728" i="4" a="1"/>
  <c r="B728" i="4" s="1"/>
  <c r="B727" i="4" a="1"/>
  <c r="B727" i="4" s="1"/>
  <c r="B726" i="4" a="1"/>
  <c r="B726" i="4" s="1"/>
  <c r="B725" i="4" a="1"/>
  <c r="B725" i="4" s="1"/>
  <c r="B724" i="4" a="1"/>
  <c r="B724" i="4" s="1"/>
  <c r="B723" i="4" a="1"/>
  <c r="B723" i="4" s="1"/>
  <c r="B722" i="4" a="1"/>
  <c r="B722" i="4" s="1"/>
  <c r="B721" i="4" a="1"/>
  <c r="B721" i="4" s="1"/>
  <c r="B720" i="4" a="1"/>
  <c r="B720" i="4" s="1"/>
  <c r="B719" i="4" a="1"/>
  <c r="B719" i="4" s="1"/>
  <c r="B718" i="4" a="1"/>
  <c r="B718" i="4" s="1"/>
  <c r="B717" i="4" a="1"/>
  <c r="B717" i="4" s="1"/>
  <c r="B716" i="4" a="1"/>
  <c r="B716" i="4" s="1"/>
  <c r="B715" i="4" a="1"/>
  <c r="B715" i="4" s="1"/>
  <c r="B714" i="4" a="1"/>
  <c r="B714" i="4" s="1"/>
  <c r="B713" i="4" a="1"/>
  <c r="B713" i="4" s="1"/>
  <c r="B712" i="4" a="1"/>
  <c r="B712" i="4" s="1"/>
  <c r="B711" i="4" a="1"/>
  <c r="B711" i="4" s="1"/>
  <c r="B710" i="4" a="1"/>
  <c r="B710" i="4" s="1"/>
  <c r="B709" i="4" a="1"/>
  <c r="B709" i="4" s="1"/>
  <c r="B708" i="4" a="1"/>
  <c r="B708" i="4" s="1"/>
  <c r="B707" i="4" a="1"/>
  <c r="B707" i="4" s="1"/>
  <c r="B706" i="4" a="1"/>
  <c r="B706" i="4" s="1"/>
  <c r="B705" i="4" a="1"/>
  <c r="B705" i="4" s="1"/>
  <c r="B704" i="4" a="1"/>
  <c r="B704" i="4" s="1"/>
  <c r="B703" i="4" a="1"/>
  <c r="B703" i="4" s="1"/>
  <c r="B702" i="4" a="1"/>
  <c r="B702" i="4" s="1"/>
  <c r="B701" i="4" a="1"/>
  <c r="B701" i="4" s="1"/>
  <c r="B700" i="4" a="1"/>
  <c r="B700" i="4" s="1"/>
  <c r="B699" i="4" a="1"/>
  <c r="B699" i="4" s="1"/>
  <c r="B698" i="4" a="1"/>
  <c r="B698" i="4" s="1"/>
  <c r="B697" i="4" a="1"/>
  <c r="B697" i="4" s="1"/>
  <c r="B696" i="4" a="1"/>
  <c r="B696" i="4" s="1"/>
  <c r="B695" i="4" a="1"/>
  <c r="B695" i="4" s="1"/>
  <c r="B694" i="4" a="1"/>
  <c r="B694" i="4" s="1"/>
  <c r="B693" i="4" a="1"/>
  <c r="B693" i="4" s="1"/>
  <c r="B692" i="4" a="1"/>
  <c r="B692" i="4" s="1"/>
  <c r="B691" i="4" a="1"/>
  <c r="B691" i="4" s="1"/>
  <c r="B690" i="4" a="1"/>
  <c r="B690" i="4" s="1"/>
  <c r="B689" i="4" a="1"/>
  <c r="B689" i="4" s="1"/>
  <c r="B688" i="4" a="1"/>
  <c r="B688" i="4" s="1"/>
  <c r="B687" i="4" a="1"/>
  <c r="B687" i="4" s="1"/>
  <c r="B686" i="4" a="1"/>
  <c r="B686" i="4" s="1"/>
  <c r="B685" i="4" a="1"/>
  <c r="B685" i="4" s="1"/>
  <c r="B684" i="4" a="1"/>
  <c r="B684" i="4" s="1"/>
  <c r="B683" i="4" a="1"/>
  <c r="B683" i="4" s="1"/>
  <c r="B682" i="4" a="1"/>
  <c r="B682" i="4" s="1"/>
  <c r="B681" i="4" a="1"/>
  <c r="B681" i="4" s="1"/>
  <c r="B680" i="4" a="1"/>
  <c r="B680" i="4" s="1"/>
  <c r="B679" i="4" a="1"/>
  <c r="B679" i="4" s="1"/>
  <c r="B678" i="4" a="1"/>
  <c r="B678" i="4" s="1"/>
  <c r="B677" i="4" a="1"/>
  <c r="B677" i="4" s="1"/>
  <c r="B676" i="4" a="1"/>
  <c r="B676" i="4" s="1"/>
  <c r="B675" i="4" a="1"/>
  <c r="B675" i="4" s="1"/>
  <c r="B674" i="4" a="1"/>
  <c r="B674" i="4" s="1"/>
  <c r="B673" i="4" a="1"/>
  <c r="B673" i="4" s="1"/>
  <c r="B672" i="4" a="1"/>
  <c r="B672" i="4" s="1"/>
  <c r="B671" i="4" a="1"/>
  <c r="B671" i="4" s="1"/>
  <c r="B670" i="4" a="1"/>
  <c r="B670" i="4" s="1"/>
  <c r="B669" i="4" a="1"/>
  <c r="B669" i="4" s="1"/>
  <c r="B668" i="4" a="1"/>
  <c r="B668" i="4" s="1"/>
  <c r="B667" i="4" a="1"/>
  <c r="B667" i="4" s="1"/>
  <c r="B666" i="4" a="1"/>
  <c r="B666" i="4" s="1"/>
  <c r="B665" i="4" a="1"/>
  <c r="B665" i="4" s="1"/>
  <c r="B664" i="4" a="1"/>
  <c r="B664" i="4" s="1"/>
  <c r="B663" i="4" a="1"/>
  <c r="B663" i="4" s="1"/>
  <c r="B662" i="4" a="1"/>
  <c r="B662" i="4" s="1"/>
  <c r="B661" i="4" a="1"/>
  <c r="B661" i="4" s="1"/>
  <c r="B660" i="4" a="1"/>
  <c r="B660" i="4" s="1"/>
  <c r="B659" i="4" a="1"/>
  <c r="B659" i="4" s="1"/>
  <c r="B658" i="4" a="1"/>
  <c r="B658" i="4" s="1"/>
  <c r="B657" i="4" a="1"/>
  <c r="B657" i="4" s="1"/>
  <c r="B656" i="4" a="1"/>
  <c r="B656" i="4" s="1"/>
  <c r="B655" i="4" a="1"/>
  <c r="B655" i="4" s="1"/>
  <c r="B654" i="4" a="1"/>
  <c r="B654" i="4" s="1"/>
  <c r="B653" i="4" a="1"/>
  <c r="B653" i="4" s="1"/>
  <c r="B652" i="4" a="1"/>
  <c r="B652" i="4" s="1"/>
  <c r="B651" i="4" a="1"/>
  <c r="B651" i="4" s="1"/>
  <c r="B650" i="4" a="1"/>
  <c r="B650" i="4" s="1"/>
  <c r="B649" i="4" a="1"/>
  <c r="B649" i="4" s="1"/>
  <c r="B648" i="4" a="1"/>
  <c r="B648" i="4" s="1"/>
  <c r="B647" i="4" a="1"/>
  <c r="B647" i="4" s="1"/>
  <c r="B646" i="4" a="1"/>
  <c r="B646" i="4" s="1"/>
  <c r="B645" i="4" a="1"/>
  <c r="B645" i="4" s="1"/>
  <c r="B644" i="4" a="1"/>
  <c r="B644" i="4" s="1"/>
  <c r="B643" i="4" a="1"/>
  <c r="B643" i="4" s="1"/>
  <c r="B642" i="4" a="1"/>
  <c r="B642" i="4" s="1"/>
  <c r="B641" i="4" a="1"/>
  <c r="B641" i="4" s="1"/>
  <c r="B640" i="4" a="1"/>
  <c r="B640" i="4" s="1"/>
  <c r="B639" i="4" a="1"/>
  <c r="B639" i="4" s="1"/>
  <c r="B638" i="4" a="1"/>
  <c r="B638" i="4" s="1"/>
  <c r="B637" i="4" a="1"/>
  <c r="B637" i="4" s="1"/>
  <c r="B636" i="4" a="1"/>
  <c r="B636" i="4" s="1"/>
  <c r="B635" i="4" a="1"/>
  <c r="B635" i="4" s="1"/>
  <c r="B634" i="4" a="1"/>
  <c r="B634" i="4" s="1"/>
  <c r="B633" i="4" a="1"/>
  <c r="B633" i="4" s="1"/>
  <c r="B632" i="4" a="1"/>
  <c r="B632" i="4" s="1"/>
  <c r="B631" i="4" a="1"/>
  <c r="B631" i="4" s="1"/>
  <c r="B630" i="4" a="1"/>
  <c r="B630" i="4" s="1"/>
  <c r="B629" i="4" a="1"/>
  <c r="B629" i="4" s="1"/>
  <c r="B628" i="4" a="1"/>
  <c r="B628" i="4" s="1"/>
  <c r="B627" i="4" a="1"/>
  <c r="B627" i="4" s="1"/>
  <c r="B626" i="4" a="1"/>
  <c r="B626" i="4" s="1"/>
  <c r="B625" i="4" a="1"/>
  <c r="B625" i="4" s="1"/>
  <c r="B624" i="4" a="1"/>
  <c r="B624" i="4" s="1"/>
  <c r="B623" i="4" a="1"/>
  <c r="B623" i="4" s="1"/>
  <c r="B622" i="4" a="1"/>
  <c r="B622" i="4" s="1"/>
  <c r="B621" i="4" a="1"/>
  <c r="B621" i="4" s="1"/>
  <c r="B620" i="4" a="1"/>
  <c r="B620" i="4" s="1"/>
  <c r="B619" i="4" a="1"/>
  <c r="B619" i="4" s="1"/>
  <c r="B618" i="4" a="1"/>
  <c r="B618" i="4" s="1"/>
  <c r="B617" i="4" a="1"/>
  <c r="B617" i="4" s="1"/>
  <c r="B616" i="4" a="1"/>
  <c r="B616" i="4" s="1"/>
  <c r="B615" i="4" a="1"/>
  <c r="B615" i="4" s="1"/>
  <c r="B614" i="4" a="1"/>
  <c r="B614" i="4" s="1"/>
  <c r="B613" i="4" a="1"/>
  <c r="B613" i="4" s="1"/>
  <c r="B612" i="4" a="1"/>
  <c r="B612" i="4" s="1"/>
  <c r="B611" i="4" a="1"/>
  <c r="B611" i="4" s="1"/>
  <c r="B610" i="4" a="1"/>
  <c r="B610" i="4" s="1"/>
  <c r="B609" i="4" a="1"/>
  <c r="B609" i="4" s="1"/>
  <c r="B608" i="4" a="1"/>
  <c r="B608" i="4" s="1"/>
  <c r="B607" i="4" a="1"/>
  <c r="B607" i="4" s="1"/>
  <c r="B606" i="4" a="1"/>
  <c r="B606" i="4" s="1"/>
  <c r="B605" i="4" a="1"/>
  <c r="B605" i="4" s="1"/>
  <c r="B604" i="4" a="1"/>
  <c r="B604" i="4" s="1"/>
  <c r="B603" i="4" a="1"/>
  <c r="B603" i="4" s="1"/>
  <c r="B602" i="4" a="1"/>
  <c r="B602" i="4" s="1"/>
  <c r="B601" i="4" a="1"/>
  <c r="B601" i="4" s="1"/>
  <c r="B600" i="4" a="1"/>
  <c r="B600" i="4" s="1"/>
  <c r="B599" i="4" a="1"/>
  <c r="B599" i="4" s="1"/>
  <c r="B598" i="4" a="1"/>
  <c r="B598" i="4" s="1"/>
  <c r="B597" i="4" a="1"/>
  <c r="B597" i="4" s="1"/>
  <c r="B596" i="4" a="1"/>
  <c r="B596" i="4" s="1"/>
  <c r="B595" i="4" a="1"/>
  <c r="B595" i="4" s="1"/>
  <c r="B594" i="4" a="1"/>
  <c r="B594" i="4" s="1"/>
  <c r="B593" i="4" a="1"/>
  <c r="B593" i="4" s="1"/>
  <c r="B592" i="4" a="1"/>
  <c r="B592" i="4" s="1"/>
  <c r="B591" i="4" a="1"/>
  <c r="B591" i="4" s="1"/>
  <c r="B590" i="4" a="1"/>
  <c r="B590" i="4" s="1"/>
  <c r="B589" i="4" a="1"/>
  <c r="B589" i="4" s="1"/>
  <c r="B588" i="4" a="1"/>
  <c r="B588" i="4" s="1"/>
  <c r="B587" i="4" a="1"/>
  <c r="B587" i="4" s="1"/>
  <c r="B586" i="4" a="1"/>
  <c r="B586" i="4" s="1"/>
  <c r="B585" i="4" a="1"/>
  <c r="B585" i="4" s="1"/>
  <c r="B584" i="4" a="1"/>
  <c r="B584" i="4" s="1"/>
  <c r="B583" i="4" a="1"/>
  <c r="B583" i="4" s="1"/>
  <c r="B582" i="4" a="1"/>
  <c r="B582" i="4" s="1"/>
  <c r="B581" i="4" a="1"/>
  <c r="B581" i="4" s="1"/>
  <c r="B580" i="4" a="1"/>
  <c r="B580" i="4" s="1"/>
  <c r="B579" i="4" a="1"/>
  <c r="B579" i="4" s="1"/>
  <c r="B578" i="4" a="1"/>
  <c r="B578" i="4" s="1"/>
  <c r="B577" i="4" a="1"/>
  <c r="B577" i="4" s="1"/>
  <c r="B576" i="4" a="1"/>
  <c r="B576" i="4" s="1"/>
  <c r="B575" i="4" a="1"/>
  <c r="B575" i="4" s="1"/>
  <c r="B574" i="4" a="1"/>
  <c r="B574" i="4" s="1"/>
  <c r="B573" i="4" a="1"/>
  <c r="B573" i="4" s="1"/>
  <c r="B572" i="4" a="1"/>
  <c r="B572" i="4" s="1"/>
  <c r="B571" i="4" a="1"/>
  <c r="B571" i="4" s="1"/>
  <c r="B570" i="4" a="1"/>
  <c r="B570" i="4" s="1"/>
  <c r="B569" i="4" a="1"/>
  <c r="B569" i="4" s="1"/>
  <c r="B568" i="4" a="1"/>
  <c r="B568" i="4" s="1"/>
  <c r="B567" i="4" a="1"/>
  <c r="B567" i="4" s="1"/>
  <c r="B566" i="4" a="1"/>
  <c r="B566" i="4" s="1"/>
  <c r="B565" i="4" a="1"/>
  <c r="B565" i="4" s="1"/>
  <c r="B564" i="4" a="1"/>
  <c r="B564" i="4" s="1"/>
  <c r="B563" i="4" a="1"/>
  <c r="B563" i="4" s="1"/>
  <c r="B562" i="4" a="1"/>
  <c r="B562" i="4" s="1"/>
  <c r="B561" i="4" a="1"/>
  <c r="B561" i="4" s="1"/>
  <c r="B560" i="4" a="1"/>
  <c r="B560" i="4" s="1"/>
  <c r="B559" i="4" a="1"/>
  <c r="B559" i="4" s="1"/>
  <c r="B558" i="4" a="1"/>
  <c r="B558" i="4" s="1"/>
  <c r="B557" i="4" a="1"/>
  <c r="B557" i="4" s="1"/>
  <c r="B556" i="4" a="1"/>
  <c r="B556" i="4" s="1"/>
  <c r="B555" i="4" a="1"/>
  <c r="B555" i="4" s="1"/>
  <c r="B554" i="4" a="1"/>
  <c r="B554" i="4" s="1"/>
  <c r="B553" i="4" a="1"/>
  <c r="B553" i="4" s="1"/>
  <c r="B552" i="4" a="1"/>
  <c r="B552" i="4" s="1"/>
  <c r="B551" i="4" a="1"/>
  <c r="B551" i="4" s="1"/>
  <c r="B550" i="4" a="1"/>
  <c r="B550" i="4" s="1"/>
  <c r="B549" i="4" a="1"/>
  <c r="B549" i="4" s="1"/>
  <c r="B548" i="4" a="1"/>
  <c r="B548" i="4" s="1"/>
  <c r="B547" i="4" a="1"/>
  <c r="B547" i="4" s="1"/>
  <c r="B546" i="4" a="1"/>
  <c r="B546" i="4" s="1"/>
  <c r="B545" i="4" a="1"/>
  <c r="B545" i="4" s="1"/>
  <c r="B544" i="4" a="1"/>
  <c r="B544" i="4" s="1"/>
  <c r="B543" i="4" a="1"/>
  <c r="B543" i="4" s="1"/>
  <c r="B542" i="4" a="1"/>
  <c r="B542" i="4" s="1"/>
  <c r="B541" i="4" a="1"/>
  <c r="B541" i="4" s="1"/>
  <c r="B540" i="4" a="1"/>
  <c r="B540" i="4" s="1"/>
  <c r="B539" i="4" a="1"/>
  <c r="B539" i="4" s="1"/>
  <c r="B538" i="4" a="1"/>
  <c r="B538" i="4" s="1"/>
  <c r="B537" i="4" a="1"/>
  <c r="B537" i="4" s="1"/>
  <c r="B536" i="4" a="1"/>
  <c r="B536" i="4" s="1"/>
  <c r="B535" i="4" a="1"/>
  <c r="B535" i="4" s="1"/>
  <c r="B534" i="4" a="1"/>
  <c r="B534" i="4" s="1"/>
  <c r="B533" i="4" a="1"/>
  <c r="B533" i="4" s="1"/>
  <c r="B532" i="4" a="1"/>
  <c r="B532" i="4" s="1"/>
  <c r="B531" i="4" a="1"/>
  <c r="B531" i="4" s="1"/>
  <c r="B530" i="4" a="1"/>
  <c r="B530" i="4" s="1"/>
  <c r="B529" i="4" a="1"/>
  <c r="B529" i="4" s="1"/>
  <c r="B528" i="4" a="1"/>
  <c r="B528" i="4" s="1"/>
  <c r="B527" i="4" a="1"/>
  <c r="B527" i="4" s="1"/>
  <c r="B526" i="4" a="1"/>
  <c r="B526" i="4" s="1"/>
  <c r="B525" i="4" a="1"/>
  <c r="B525" i="4" s="1"/>
  <c r="B524" i="4" a="1"/>
  <c r="B524" i="4" s="1"/>
  <c r="B523" i="4" a="1"/>
  <c r="B523" i="4" s="1"/>
  <c r="B522" i="4" a="1"/>
  <c r="B522" i="4" s="1"/>
  <c r="B521" i="4" a="1"/>
  <c r="B521" i="4" s="1"/>
  <c r="B520" i="4" a="1"/>
  <c r="B520" i="4" s="1"/>
  <c r="B519" i="4" a="1"/>
  <c r="B519" i="4" s="1"/>
  <c r="B518" i="4" a="1"/>
  <c r="B518" i="4" s="1"/>
  <c r="B517" i="4" a="1"/>
  <c r="B517" i="4" s="1"/>
  <c r="B516" i="4" a="1"/>
  <c r="B516" i="4" s="1"/>
  <c r="B515" i="4" a="1"/>
  <c r="B515" i="4" s="1"/>
  <c r="B514" i="4" a="1"/>
  <c r="B514" i="4" s="1"/>
  <c r="B513" i="4" a="1"/>
  <c r="B513" i="4" s="1"/>
  <c r="B512" i="4" a="1"/>
  <c r="B512" i="4" s="1"/>
  <c r="B511" i="4" a="1"/>
  <c r="B511" i="4" s="1"/>
  <c r="B510" i="4" a="1"/>
  <c r="B510" i="4" s="1"/>
  <c r="B509" i="4" a="1"/>
  <c r="B509" i="4" s="1"/>
  <c r="B508" i="4" a="1"/>
  <c r="B508" i="4" s="1"/>
  <c r="B507" i="4" a="1"/>
  <c r="B507" i="4" s="1"/>
  <c r="B506" i="4" a="1"/>
  <c r="B506" i="4" s="1"/>
  <c r="B505" i="4" a="1"/>
  <c r="B505" i="4" s="1"/>
  <c r="B504" i="4" a="1"/>
  <c r="B504" i="4" s="1"/>
  <c r="B503" i="4" a="1"/>
  <c r="B503" i="4" s="1"/>
  <c r="B502" i="4" a="1"/>
  <c r="B502" i="4" s="1"/>
  <c r="B501" i="4" a="1"/>
  <c r="B501" i="4" s="1"/>
  <c r="B500" i="4" a="1"/>
  <c r="B500" i="4" s="1"/>
  <c r="B499" i="4" a="1"/>
  <c r="B499" i="4" s="1"/>
  <c r="B498" i="4" a="1"/>
  <c r="B498" i="4" s="1"/>
  <c r="B497" i="4" a="1"/>
  <c r="B497" i="4" s="1"/>
  <c r="B496" i="4" a="1"/>
  <c r="B496" i="4" s="1"/>
  <c r="B495" i="4" a="1"/>
  <c r="B495" i="4" s="1"/>
  <c r="B494" i="4" a="1"/>
  <c r="B494" i="4" s="1"/>
  <c r="B493" i="4" a="1"/>
  <c r="B493" i="4" s="1"/>
  <c r="B492" i="4" a="1"/>
  <c r="B492" i="4" s="1"/>
  <c r="B491" i="4" a="1"/>
  <c r="B491" i="4" s="1"/>
  <c r="B490" i="4" a="1"/>
  <c r="B490" i="4" s="1"/>
  <c r="B489" i="4" a="1"/>
  <c r="B489" i="4" s="1"/>
  <c r="B488" i="4" a="1"/>
  <c r="B488" i="4" s="1"/>
  <c r="B487" i="4" a="1"/>
  <c r="B487" i="4" s="1"/>
  <c r="B486" i="4" a="1"/>
  <c r="B486" i="4" s="1"/>
  <c r="B485" i="4" a="1"/>
  <c r="B485" i="4" s="1"/>
  <c r="B484" i="4" a="1"/>
  <c r="B484" i="4" s="1"/>
  <c r="B483" i="4" a="1"/>
  <c r="B483" i="4" s="1"/>
  <c r="B482" i="4" a="1"/>
  <c r="B482" i="4" s="1"/>
  <c r="B481" i="4" a="1"/>
  <c r="B481" i="4" s="1"/>
  <c r="B480" i="4" a="1"/>
  <c r="B480" i="4" s="1"/>
  <c r="B479" i="4" a="1"/>
  <c r="B479" i="4" s="1"/>
  <c r="B478" i="4" a="1"/>
  <c r="B478" i="4" s="1"/>
  <c r="B477" i="4" a="1"/>
  <c r="B477" i="4" s="1"/>
  <c r="B476" i="4" a="1"/>
  <c r="B476" i="4" s="1"/>
  <c r="B475" i="4" a="1"/>
  <c r="B475" i="4" s="1"/>
  <c r="B474" i="4" a="1"/>
  <c r="B474" i="4" s="1"/>
  <c r="B473" i="4" a="1"/>
  <c r="B473" i="4" s="1"/>
  <c r="B472" i="4" a="1"/>
  <c r="B472" i="4" s="1"/>
  <c r="B471" i="4" a="1"/>
  <c r="B471" i="4" s="1"/>
  <c r="B470" i="4" a="1"/>
  <c r="B470" i="4" s="1"/>
  <c r="B469" i="4" a="1"/>
  <c r="B469" i="4" s="1"/>
  <c r="B468" i="4" a="1"/>
  <c r="B468" i="4" s="1"/>
  <c r="B467" i="4" a="1"/>
  <c r="B467" i="4" s="1"/>
  <c r="B466" i="4" a="1"/>
  <c r="B466" i="4" s="1"/>
  <c r="B465" i="4" a="1"/>
  <c r="B465" i="4" s="1"/>
  <c r="B464" i="4" a="1"/>
  <c r="B464" i="4" s="1"/>
  <c r="B463" i="4" a="1"/>
  <c r="B463" i="4" s="1"/>
  <c r="B462" i="4" a="1"/>
  <c r="B462" i="4" s="1"/>
  <c r="B461" i="4" a="1"/>
  <c r="B461" i="4" s="1"/>
  <c r="B460" i="4" a="1"/>
  <c r="B460" i="4" s="1"/>
  <c r="B459" i="4" a="1"/>
  <c r="B459" i="4" s="1"/>
  <c r="B458" i="4" a="1"/>
  <c r="B458" i="4" s="1"/>
  <c r="B457" i="4" a="1"/>
  <c r="B457" i="4" s="1"/>
  <c r="B456" i="4" a="1"/>
  <c r="B456" i="4" s="1"/>
  <c r="B455" i="4" a="1"/>
  <c r="B455" i="4" s="1"/>
  <c r="B454" i="4" a="1"/>
  <c r="B454" i="4" s="1"/>
  <c r="B453" i="4" a="1"/>
  <c r="B453" i="4" s="1"/>
  <c r="B452" i="4" a="1"/>
  <c r="B452" i="4" s="1"/>
  <c r="B451" i="4" a="1"/>
  <c r="B451" i="4" s="1"/>
  <c r="B450" i="4" a="1"/>
  <c r="B450" i="4" s="1"/>
  <c r="B449" i="4" a="1"/>
  <c r="B449" i="4" s="1"/>
  <c r="B448" i="4" a="1"/>
  <c r="B448" i="4" s="1"/>
  <c r="B447" i="4" a="1"/>
  <c r="B447" i="4" s="1"/>
  <c r="B446" i="4" a="1"/>
  <c r="B446" i="4" s="1"/>
  <c r="B445" i="4" a="1"/>
  <c r="B445" i="4" s="1"/>
  <c r="B444" i="4" a="1"/>
  <c r="B444" i="4" s="1"/>
  <c r="B443" i="4" a="1"/>
  <c r="B443" i="4" s="1"/>
  <c r="B442" i="4" a="1"/>
  <c r="B442" i="4" s="1"/>
  <c r="B441" i="4" a="1"/>
  <c r="B441" i="4" s="1"/>
  <c r="B440" i="4" a="1"/>
  <c r="B440" i="4" s="1"/>
  <c r="B439" i="4" a="1"/>
  <c r="B439" i="4" s="1"/>
  <c r="B438" i="4" a="1"/>
  <c r="B438" i="4" s="1"/>
  <c r="B437" i="4" a="1"/>
  <c r="B437" i="4" s="1"/>
  <c r="B436" i="4" a="1"/>
  <c r="B436" i="4" s="1"/>
  <c r="B435" i="4" a="1"/>
  <c r="B435" i="4" s="1"/>
  <c r="B434" i="4" a="1"/>
  <c r="B434" i="4" s="1"/>
  <c r="B433" i="4" a="1"/>
  <c r="B433" i="4" s="1"/>
  <c r="B432" i="4" a="1"/>
  <c r="B432" i="4" s="1"/>
  <c r="B431" i="4" a="1"/>
  <c r="B431" i="4" s="1"/>
  <c r="B430" i="4" a="1"/>
  <c r="B430" i="4" s="1"/>
  <c r="B429" i="4" a="1"/>
  <c r="B429" i="4" s="1"/>
  <c r="B428" i="4" a="1"/>
  <c r="B428" i="4" s="1"/>
  <c r="B427" i="4" a="1"/>
  <c r="B427" i="4" s="1"/>
  <c r="B426" i="4" a="1"/>
  <c r="B426" i="4" s="1"/>
  <c r="B425" i="4" a="1"/>
  <c r="B425" i="4" s="1"/>
  <c r="B424" i="4" a="1"/>
  <c r="B424" i="4" s="1"/>
  <c r="B423" i="4" a="1"/>
  <c r="B423" i="4" s="1"/>
  <c r="B422" i="4" a="1"/>
  <c r="B422" i="4" s="1"/>
  <c r="B421" i="4" a="1"/>
  <c r="B421" i="4" s="1"/>
  <c r="B420" i="4" a="1"/>
  <c r="B420" i="4" s="1"/>
  <c r="B419" i="4" a="1"/>
  <c r="B419" i="4" s="1"/>
  <c r="B418" i="4" a="1"/>
  <c r="B418" i="4" s="1"/>
  <c r="B417" i="4" a="1"/>
  <c r="B417" i="4" s="1"/>
  <c r="B416" i="4" a="1"/>
  <c r="B416" i="4" s="1"/>
  <c r="B415" i="4" a="1"/>
  <c r="B415" i="4" s="1"/>
  <c r="B414" i="4" a="1"/>
  <c r="B414" i="4" s="1"/>
  <c r="B413" i="4" a="1"/>
  <c r="B413" i="4" s="1"/>
  <c r="B412" i="4" a="1"/>
  <c r="B412" i="4" s="1"/>
  <c r="B411" i="4" a="1"/>
  <c r="B411" i="4" s="1"/>
  <c r="B410" i="4" a="1"/>
  <c r="B410" i="4" s="1"/>
  <c r="B409" i="4" a="1"/>
  <c r="B409" i="4" s="1"/>
  <c r="B408" i="4" a="1"/>
  <c r="B408" i="4" s="1"/>
  <c r="B407" i="4" a="1"/>
  <c r="B407" i="4" s="1"/>
  <c r="B406" i="4" a="1"/>
  <c r="B406" i="4" s="1"/>
  <c r="B405" i="4" a="1"/>
  <c r="B405" i="4" s="1"/>
  <c r="B404" i="4" a="1"/>
  <c r="B404" i="4" s="1"/>
  <c r="B403" i="4" a="1"/>
  <c r="B403" i="4" s="1"/>
  <c r="B402" i="4" a="1"/>
  <c r="B402" i="4" s="1"/>
  <c r="B401" i="4" a="1"/>
  <c r="B401" i="4" s="1"/>
  <c r="B400" i="4" a="1"/>
  <c r="B400" i="4" s="1"/>
  <c r="B399" i="4" a="1"/>
  <c r="B399" i="4" s="1"/>
  <c r="B398" i="4" a="1"/>
  <c r="B398" i="4" s="1"/>
  <c r="B397" i="4" a="1"/>
  <c r="B397" i="4" s="1"/>
  <c r="B396" i="4" a="1"/>
  <c r="B396" i="4" s="1"/>
  <c r="B395" i="4" a="1"/>
  <c r="B395" i="4" s="1"/>
  <c r="B394" i="4" a="1"/>
  <c r="B394" i="4" s="1"/>
  <c r="B393" i="4" a="1"/>
  <c r="B393" i="4" s="1"/>
  <c r="B392" i="4" a="1"/>
  <c r="B392" i="4" s="1"/>
  <c r="B391" i="4" a="1"/>
  <c r="B391" i="4" s="1"/>
  <c r="B390" i="4" a="1"/>
  <c r="B390" i="4" s="1"/>
  <c r="B389" i="4" a="1"/>
  <c r="B389" i="4" s="1"/>
  <c r="B388" i="4" a="1"/>
  <c r="B388" i="4" s="1"/>
  <c r="B387" i="4" a="1"/>
  <c r="B387" i="4" s="1"/>
  <c r="B386" i="4" a="1"/>
  <c r="B386" i="4" s="1"/>
  <c r="B385" i="4" a="1"/>
  <c r="B385" i="4" s="1"/>
  <c r="B384" i="4" a="1"/>
  <c r="B384" i="4" s="1"/>
  <c r="B383" i="4" a="1"/>
  <c r="B383" i="4" s="1"/>
  <c r="B382" i="4" a="1"/>
  <c r="B382" i="4" s="1"/>
  <c r="B381" i="4" a="1"/>
  <c r="B381" i="4" s="1"/>
  <c r="B380" i="4" a="1"/>
  <c r="B380" i="4" s="1"/>
  <c r="B379" i="4" a="1"/>
  <c r="B379" i="4" s="1"/>
  <c r="B378" i="4" a="1"/>
  <c r="B378" i="4" s="1"/>
  <c r="B377" i="4" a="1"/>
  <c r="B377" i="4" s="1"/>
  <c r="B376" i="4" a="1"/>
  <c r="B376" i="4" s="1"/>
  <c r="B375" i="4" a="1"/>
  <c r="B375" i="4" s="1"/>
  <c r="B374" i="4" a="1"/>
  <c r="B374" i="4" s="1"/>
  <c r="B373" i="4" a="1"/>
  <c r="B373" i="4" s="1"/>
  <c r="B372" i="4" a="1"/>
  <c r="B372" i="4" s="1"/>
  <c r="B371" i="4" a="1"/>
  <c r="B371" i="4" s="1"/>
  <c r="B370" i="4" a="1"/>
  <c r="B370" i="4" s="1"/>
  <c r="B369" i="4" a="1"/>
  <c r="B369" i="4" s="1"/>
  <c r="B368" i="4" a="1"/>
  <c r="B368" i="4" s="1"/>
  <c r="B367" i="4" a="1"/>
  <c r="B367" i="4" s="1"/>
  <c r="B366" i="4" a="1"/>
  <c r="B366" i="4" s="1"/>
  <c r="B365" i="4" a="1"/>
  <c r="B365" i="4" s="1"/>
  <c r="B364" i="4" a="1"/>
  <c r="B364" i="4" s="1"/>
  <c r="B363" i="4" a="1"/>
  <c r="B363" i="4" s="1"/>
  <c r="B362" i="4" a="1"/>
  <c r="B362" i="4" s="1"/>
  <c r="B361" i="4" a="1"/>
  <c r="B361" i="4" s="1"/>
  <c r="B360" i="4" a="1"/>
  <c r="B360" i="4" s="1"/>
  <c r="B359" i="4" a="1"/>
  <c r="B359" i="4" s="1"/>
  <c r="B358" i="4" a="1"/>
  <c r="B358" i="4" s="1"/>
  <c r="B357" i="4" a="1"/>
  <c r="B357" i="4" s="1"/>
  <c r="B356" i="4" a="1"/>
  <c r="B356" i="4" s="1"/>
  <c r="B355" i="4" a="1"/>
  <c r="B355" i="4" s="1"/>
  <c r="B354" i="4" a="1"/>
  <c r="B354" i="4" s="1"/>
  <c r="B353" i="4" a="1"/>
  <c r="B353" i="4" s="1"/>
  <c r="B352" i="4" a="1"/>
  <c r="B352" i="4" s="1"/>
  <c r="B351" i="4" a="1"/>
  <c r="B351" i="4" s="1"/>
  <c r="B350" i="4" a="1"/>
  <c r="B350" i="4" s="1"/>
  <c r="B349" i="4" a="1"/>
  <c r="B349" i="4" s="1"/>
  <c r="B348" i="4" a="1"/>
  <c r="B348" i="4" s="1"/>
  <c r="B347" i="4" a="1"/>
  <c r="B347" i="4" s="1"/>
  <c r="B346" i="4" a="1"/>
  <c r="B346" i="4" s="1"/>
  <c r="B345" i="4" a="1"/>
  <c r="B345" i="4" s="1"/>
  <c r="B344" i="4" a="1"/>
  <c r="B344" i="4" s="1"/>
  <c r="B343" i="4" a="1"/>
  <c r="B343" i="4" s="1"/>
  <c r="B342" i="4" a="1"/>
  <c r="B342" i="4" s="1"/>
  <c r="B341" i="4" a="1"/>
  <c r="B341" i="4" s="1"/>
  <c r="B340" i="4" a="1"/>
  <c r="B340" i="4" s="1"/>
  <c r="B339" i="4" a="1"/>
  <c r="B339" i="4" s="1"/>
  <c r="B338" i="4" a="1"/>
  <c r="B338" i="4" s="1"/>
  <c r="B337" i="4" a="1"/>
  <c r="B337" i="4" s="1"/>
  <c r="B336" i="4" a="1"/>
  <c r="B336" i="4" s="1"/>
  <c r="B335" i="4" a="1"/>
  <c r="B335" i="4" s="1"/>
  <c r="B334" i="4" a="1"/>
  <c r="B334" i="4" s="1"/>
  <c r="B333" i="4" a="1"/>
  <c r="B333" i="4" s="1"/>
  <c r="B332" i="4" a="1"/>
  <c r="B332" i="4" s="1"/>
  <c r="B331" i="4" a="1"/>
  <c r="B331" i="4" s="1"/>
  <c r="B330" i="4" a="1"/>
  <c r="B330" i="4" s="1"/>
  <c r="B329" i="4" a="1"/>
  <c r="B329" i="4" s="1"/>
  <c r="B328" i="4" a="1"/>
  <c r="B328" i="4" s="1"/>
  <c r="B327" i="4" a="1"/>
  <c r="B327" i="4" s="1"/>
  <c r="B326" i="4" a="1"/>
  <c r="B326" i="4" s="1"/>
  <c r="B325" i="4" a="1"/>
  <c r="B325" i="4" s="1"/>
  <c r="B324" i="4" a="1"/>
  <c r="B324" i="4" s="1"/>
  <c r="B323" i="4" a="1"/>
  <c r="B323" i="4" s="1"/>
  <c r="B322" i="4" a="1"/>
  <c r="B322" i="4" s="1"/>
  <c r="B321" i="4" a="1"/>
  <c r="B321" i="4" s="1"/>
  <c r="B320" i="4" a="1"/>
  <c r="B320" i="4" s="1"/>
  <c r="B319" i="4" a="1"/>
  <c r="B319" i="4" s="1"/>
  <c r="B318" i="4" a="1"/>
  <c r="B318" i="4" s="1"/>
  <c r="B317" i="4" a="1"/>
  <c r="B317" i="4" s="1"/>
  <c r="B316" i="4" a="1"/>
  <c r="B316" i="4" s="1"/>
  <c r="B315" i="4" a="1"/>
  <c r="B315" i="4" s="1"/>
  <c r="B314" i="4" a="1"/>
  <c r="B314" i="4" s="1"/>
  <c r="B313" i="4" a="1"/>
  <c r="B313" i="4" s="1"/>
  <c r="B312" i="4" a="1"/>
  <c r="B312" i="4" s="1"/>
  <c r="B311" i="4" a="1"/>
  <c r="B311" i="4" s="1"/>
  <c r="B310" i="4" a="1"/>
  <c r="B310" i="4" s="1"/>
  <c r="B309" i="4" a="1"/>
  <c r="B309" i="4" s="1"/>
  <c r="B308" i="4" a="1"/>
  <c r="B308" i="4" s="1"/>
  <c r="B307" i="4" a="1"/>
  <c r="B307" i="4" s="1"/>
  <c r="B306" i="4" a="1"/>
  <c r="B306" i="4" s="1"/>
  <c r="B305" i="4" a="1"/>
  <c r="B305" i="4" s="1"/>
  <c r="B304" i="4" a="1"/>
  <c r="B304" i="4" s="1"/>
  <c r="B303" i="4" a="1"/>
  <c r="B303" i="4" s="1"/>
  <c r="B302" i="4" a="1"/>
  <c r="B302" i="4" s="1"/>
  <c r="B301" i="4" a="1"/>
  <c r="B301" i="4" s="1"/>
  <c r="B300" i="4" a="1"/>
  <c r="B300" i="4" s="1"/>
  <c r="B299" i="4" a="1"/>
  <c r="B299" i="4" s="1"/>
  <c r="B298" i="4" a="1"/>
  <c r="B298" i="4" s="1"/>
  <c r="B297" i="4" a="1"/>
  <c r="B297" i="4" s="1"/>
  <c r="B296" i="4" a="1"/>
  <c r="B296" i="4" s="1"/>
  <c r="B295" i="4" a="1"/>
  <c r="B295" i="4" s="1"/>
  <c r="B294" i="4" a="1"/>
  <c r="B294" i="4" s="1"/>
  <c r="B293" i="4" a="1"/>
  <c r="B293" i="4" s="1"/>
  <c r="B292" i="4" a="1"/>
  <c r="B292" i="4" s="1"/>
  <c r="B291" i="4" a="1"/>
  <c r="B291" i="4" s="1"/>
  <c r="B290" i="4" a="1"/>
  <c r="B290" i="4" s="1"/>
  <c r="B289" i="4" a="1"/>
  <c r="B289" i="4" s="1"/>
  <c r="B288" i="4" a="1"/>
  <c r="B288" i="4" s="1"/>
  <c r="B287" i="4" a="1"/>
  <c r="B287" i="4" s="1"/>
  <c r="B286" i="4" a="1"/>
  <c r="B286" i="4" s="1"/>
  <c r="B285" i="4" a="1"/>
  <c r="B285" i="4" s="1"/>
  <c r="B284" i="4" a="1"/>
  <c r="B284" i="4" s="1"/>
  <c r="B283" i="4" a="1"/>
  <c r="B283" i="4" s="1"/>
  <c r="B282" i="4" a="1"/>
  <c r="B282" i="4" s="1"/>
  <c r="B281" i="4" a="1"/>
  <c r="B281" i="4" s="1"/>
  <c r="B280" i="4" a="1"/>
  <c r="B280" i="4" s="1"/>
  <c r="B279" i="4" a="1"/>
  <c r="B279" i="4" s="1"/>
  <c r="B278" i="4" a="1"/>
  <c r="B278" i="4" s="1"/>
  <c r="B277" i="4" a="1"/>
  <c r="B277" i="4" s="1"/>
  <c r="B276" i="4" a="1"/>
  <c r="B276" i="4" s="1"/>
  <c r="B275" i="4" a="1"/>
  <c r="B275" i="4" s="1"/>
  <c r="B274" i="4" a="1"/>
  <c r="B274" i="4" s="1"/>
  <c r="B273" i="4" a="1"/>
  <c r="B273" i="4" s="1"/>
  <c r="B272" i="4" a="1"/>
  <c r="B272" i="4" s="1"/>
  <c r="B271" i="4" a="1"/>
  <c r="B271" i="4" s="1"/>
  <c r="B270" i="4" a="1"/>
  <c r="B270" i="4" s="1"/>
  <c r="B269" i="4" a="1"/>
  <c r="B269" i="4" s="1"/>
  <c r="B268" i="4" a="1"/>
  <c r="B268" i="4" s="1"/>
  <c r="B267" i="4" a="1"/>
  <c r="B267" i="4" s="1"/>
  <c r="B266" i="4" a="1"/>
  <c r="B266" i="4" s="1"/>
  <c r="B265" i="4" a="1"/>
  <c r="B265" i="4" s="1"/>
  <c r="B264" i="4" a="1"/>
  <c r="B264" i="4" s="1"/>
  <c r="B263" i="4" a="1"/>
  <c r="B263" i="4" s="1"/>
  <c r="B262" i="4" a="1"/>
  <c r="B262" i="4" s="1"/>
  <c r="B261" i="4" a="1"/>
  <c r="B261" i="4" s="1"/>
  <c r="B260" i="4" a="1"/>
  <c r="B260" i="4" s="1"/>
  <c r="B259" i="4" a="1"/>
  <c r="B259" i="4" s="1"/>
  <c r="B258" i="4" a="1"/>
  <c r="B258" i="4" s="1"/>
  <c r="B257" i="4" a="1"/>
  <c r="B257" i="4" s="1"/>
  <c r="B256" i="4" a="1"/>
  <c r="B256" i="4" s="1"/>
  <c r="B255" i="4" a="1"/>
  <c r="B255" i="4" s="1"/>
  <c r="B254" i="4" a="1"/>
  <c r="B254" i="4" s="1"/>
  <c r="B253" i="4" a="1"/>
  <c r="B253" i="4" s="1"/>
  <c r="B252" i="4" a="1"/>
  <c r="B252" i="4" s="1"/>
  <c r="B251" i="4" a="1"/>
  <c r="B251" i="4" s="1"/>
  <c r="B250" i="4" a="1"/>
  <c r="B250" i="4" s="1"/>
  <c r="B249" i="4" a="1"/>
  <c r="B249" i="4" s="1"/>
  <c r="B248" i="4" a="1"/>
  <c r="B248" i="4" s="1"/>
  <c r="B247" i="4" a="1"/>
  <c r="B247" i="4" s="1"/>
  <c r="B246" i="4" a="1"/>
  <c r="B246" i="4" s="1"/>
  <c r="B245" i="4" a="1"/>
  <c r="B245" i="4" s="1"/>
  <c r="B244" i="4" a="1"/>
  <c r="B244" i="4" s="1"/>
  <c r="B243" i="4" a="1"/>
  <c r="B243" i="4" s="1"/>
  <c r="B242" i="4" a="1"/>
  <c r="B242" i="4" s="1"/>
  <c r="B241" i="4" a="1"/>
  <c r="B241" i="4" s="1"/>
  <c r="B240" i="4" a="1"/>
  <c r="B240" i="4" s="1"/>
  <c r="B239" i="4" a="1"/>
  <c r="B239" i="4" s="1"/>
  <c r="B238" i="4" a="1"/>
  <c r="B238" i="4" s="1"/>
  <c r="B237" i="4" a="1"/>
  <c r="B237" i="4" s="1"/>
  <c r="B236" i="4" a="1"/>
  <c r="B236" i="4" s="1"/>
  <c r="B235" i="4" a="1"/>
  <c r="B235" i="4" s="1"/>
  <c r="B234" i="4" a="1"/>
  <c r="B234" i="4" s="1"/>
  <c r="B233" i="4" a="1"/>
  <c r="B233" i="4" s="1"/>
  <c r="B232" i="4" a="1"/>
  <c r="B232" i="4" s="1"/>
  <c r="B231" i="4" a="1"/>
  <c r="B231" i="4" s="1"/>
  <c r="B230" i="4" a="1"/>
  <c r="B230" i="4" s="1"/>
  <c r="B229" i="4" a="1"/>
  <c r="B229" i="4" s="1"/>
  <c r="B228" i="4" a="1"/>
  <c r="B228" i="4" s="1"/>
  <c r="B227" i="4" a="1"/>
  <c r="B227" i="4" s="1"/>
  <c r="B226" i="4" a="1"/>
  <c r="B226" i="4" s="1"/>
  <c r="B225" i="4" a="1"/>
  <c r="B225" i="4" s="1"/>
  <c r="B224" i="4" a="1"/>
  <c r="B224" i="4" s="1"/>
  <c r="B223" i="4" a="1"/>
  <c r="B223" i="4" s="1"/>
  <c r="B222" i="4" a="1"/>
  <c r="B222" i="4" s="1"/>
  <c r="B221" i="4" a="1"/>
  <c r="B221" i="4" s="1"/>
  <c r="B220" i="4" a="1"/>
  <c r="B220" i="4" s="1"/>
  <c r="B219" i="4" a="1"/>
  <c r="B219" i="4" s="1"/>
  <c r="B218" i="4" a="1"/>
  <c r="B218" i="4" s="1"/>
  <c r="B217" i="4" a="1"/>
  <c r="B217" i="4" s="1"/>
  <c r="B216" i="4" a="1"/>
  <c r="B216" i="4" s="1"/>
  <c r="B215" i="4" a="1"/>
  <c r="B215" i="4" s="1"/>
  <c r="B214" i="4" a="1"/>
  <c r="B214" i="4" s="1"/>
  <c r="B213" i="4" a="1"/>
  <c r="B213" i="4" s="1"/>
  <c r="B212" i="4" a="1"/>
  <c r="B212" i="4" s="1"/>
  <c r="B211" i="4" a="1"/>
  <c r="B211" i="4" s="1"/>
  <c r="B210" i="4" a="1"/>
  <c r="B210" i="4" s="1"/>
  <c r="B209" i="4" a="1"/>
  <c r="B209" i="4" s="1"/>
  <c r="B208" i="4" a="1"/>
  <c r="B208" i="4" s="1"/>
  <c r="B207" i="4" a="1"/>
  <c r="B207" i="4" s="1"/>
  <c r="B206" i="4" a="1"/>
  <c r="B206" i="4" s="1"/>
  <c r="B205" i="4" a="1"/>
  <c r="B205" i="4" s="1"/>
  <c r="B204" i="4" a="1"/>
  <c r="B204" i="4" s="1"/>
  <c r="B203" i="4" a="1"/>
  <c r="B203" i="4" s="1"/>
  <c r="B202" i="4" a="1"/>
  <c r="B202" i="4" s="1"/>
  <c r="B201" i="4" a="1"/>
  <c r="B201" i="4" s="1"/>
  <c r="B200" i="4" a="1"/>
  <c r="B200" i="4" s="1"/>
  <c r="B199" i="4" a="1"/>
  <c r="B199" i="4" s="1"/>
  <c r="B198" i="4" a="1"/>
  <c r="B198" i="4" s="1"/>
  <c r="B197" i="4" a="1"/>
  <c r="B197" i="4" s="1"/>
  <c r="B196" i="4" a="1"/>
  <c r="B196" i="4" s="1"/>
  <c r="B195" i="4" a="1"/>
  <c r="B195" i="4" s="1"/>
  <c r="B194" i="4" a="1"/>
  <c r="B194" i="4" s="1"/>
  <c r="B193" i="4" a="1"/>
  <c r="B193" i="4" s="1"/>
  <c r="B192" i="4" a="1"/>
  <c r="B192" i="4" s="1"/>
  <c r="B191" i="4" a="1"/>
  <c r="B191" i="4" s="1"/>
  <c r="B190" i="4" a="1"/>
  <c r="B190" i="4" s="1"/>
  <c r="B189" i="4" a="1"/>
  <c r="B189" i="4" s="1"/>
  <c r="B188" i="4" a="1"/>
  <c r="B188" i="4" s="1"/>
  <c r="B187" i="4" a="1"/>
  <c r="B187" i="4" s="1"/>
  <c r="B186" i="4" a="1"/>
  <c r="B186" i="4" s="1"/>
  <c r="B185" i="4" a="1"/>
  <c r="B185" i="4" s="1"/>
  <c r="B184" i="4" a="1"/>
  <c r="B184" i="4" s="1"/>
  <c r="B183" i="4" a="1"/>
  <c r="B183" i="4" s="1"/>
  <c r="B182" i="4" a="1"/>
  <c r="B182" i="4" s="1"/>
  <c r="B181" i="4" a="1"/>
  <c r="B181" i="4" s="1"/>
  <c r="B180" i="4" a="1"/>
  <c r="B180" i="4" s="1"/>
  <c r="B179" i="4" a="1"/>
  <c r="B179" i="4" s="1"/>
  <c r="B178" i="4" a="1"/>
  <c r="B178" i="4" s="1"/>
  <c r="B177" i="4" a="1"/>
  <c r="B177" i="4" s="1"/>
  <c r="B176" i="4" a="1"/>
  <c r="B176" i="4" s="1"/>
  <c r="B175" i="4" a="1"/>
  <c r="B175" i="4" s="1"/>
  <c r="B174" i="4" a="1"/>
  <c r="B174" i="4" s="1"/>
  <c r="B173" i="4" a="1"/>
  <c r="B173" i="4" s="1"/>
  <c r="B172" i="4" a="1"/>
  <c r="B172" i="4" s="1"/>
  <c r="B171" i="4" a="1"/>
  <c r="B171" i="4" s="1"/>
  <c r="B170" i="4" a="1"/>
  <c r="B170" i="4" s="1"/>
  <c r="B169" i="4" a="1"/>
  <c r="B169" i="4" s="1"/>
  <c r="B168" i="4" a="1"/>
  <c r="B168" i="4" s="1"/>
  <c r="B167" i="4" a="1"/>
  <c r="B167" i="4" s="1"/>
  <c r="B166" i="4" a="1"/>
  <c r="B166" i="4" s="1"/>
  <c r="B165" i="4" a="1"/>
  <c r="B165" i="4" s="1"/>
  <c r="B164" i="4" a="1"/>
  <c r="B164" i="4" s="1"/>
  <c r="B163" i="4" a="1"/>
  <c r="B163" i="4" s="1"/>
  <c r="B162" i="4" a="1"/>
  <c r="B162" i="4" s="1"/>
  <c r="B161" i="4" a="1"/>
  <c r="B161" i="4" s="1"/>
  <c r="B160" i="4" a="1"/>
  <c r="B160" i="4" s="1"/>
  <c r="B159" i="4" a="1"/>
  <c r="B159" i="4" s="1"/>
  <c r="B158" i="4" a="1"/>
  <c r="B158" i="4" s="1"/>
  <c r="B157" i="4" a="1"/>
  <c r="B157" i="4" s="1"/>
  <c r="B156" i="4" a="1"/>
  <c r="B156" i="4" s="1"/>
  <c r="B155" i="4" a="1"/>
  <c r="B155" i="4" s="1"/>
  <c r="B154" i="4" a="1"/>
  <c r="B154" i="4" s="1"/>
  <c r="B153" i="4" a="1"/>
  <c r="B153" i="4" s="1"/>
  <c r="B152" i="4" a="1"/>
  <c r="B152" i="4" s="1"/>
  <c r="B151" i="4" a="1"/>
  <c r="B151" i="4" s="1"/>
  <c r="B150" i="4" a="1"/>
  <c r="B150" i="4" s="1"/>
  <c r="B149" i="4" a="1"/>
  <c r="B149" i="4" s="1"/>
  <c r="B148" i="4" a="1"/>
  <c r="B148" i="4" s="1"/>
  <c r="B147" i="4" a="1"/>
  <c r="B147" i="4" s="1"/>
  <c r="B146" i="4" a="1"/>
  <c r="B146" i="4" s="1"/>
  <c r="B145" i="4" a="1"/>
  <c r="B145" i="4" s="1"/>
  <c r="B144" i="4" a="1"/>
  <c r="B144" i="4" s="1"/>
  <c r="B143" i="4" a="1"/>
  <c r="B143" i="4" s="1"/>
  <c r="B142" i="4" a="1"/>
  <c r="B142" i="4" s="1"/>
  <c r="B141" i="4" a="1"/>
  <c r="B141" i="4" s="1"/>
  <c r="B140" i="4" a="1"/>
  <c r="B140" i="4" s="1"/>
  <c r="B139" i="4" a="1"/>
  <c r="B139" i="4" s="1"/>
  <c r="B138" i="4" a="1"/>
  <c r="B138" i="4" s="1"/>
  <c r="B137" i="4" a="1"/>
  <c r="B137" i="4" s="1"/>
  <c r="B136" i="4" a="1"/>
  <c r="B136" i="4" s="1"/>
  <c r="B135" i="4" a="1"/>
  <c r="B135" i="4" s="1"/>
  <c r="B134" i="4" a="1"/>
  <c r="B134" i="4" s="1"/>
  <c r="B133" i="4" a="1"/>
  <c r="B133" i="4" s="1"/>
  <c r="B132" i="4" a="1"/>
  <c r="B132" i="4" s="1"/>
  <c r="B131" i="4" a="1"/>
  <c r="B131" i="4" s="1"/>
  <c r="B130" i="4" a="1"/>
  <c r="B130" i="4" s="1"/>
  <c r="B129" i="4" a="1"/>
  <c r="B129" i="4" s="1"/>
  <c r="B128" i="4" a="1"/>
  <c r="B128" i="4" s="1"/>
  <c r="B127" i="4" a="1"/>
  <c r="B127" i="4" s="1"/>
  <c r="B126" i="4" a="1"/>
  <c r="B126" i="4" s="1"/>
  <c r="B125" i="4" a="1"/>
  <c r="B125" i="4" s="1"/>
  <c r="B124" i="4" a="1"/>
  <c r="B124" i="4" s="1"/>
  <c r="B123" i="4" a="1"/>
  <c r="B123" i="4" s="1"/>
  <c r="B122" i="4" a="1"/>
  <c r="B122" i="4" s="1"/>
  <c r="B121" i="4" a="1"/>
  <c r="B121" i="4" s="1"/>
  <c r="B120" i="4" a="1"/>
  <c r="B120" i="4" s="1"/>
  <c r="B119" i="4" a="1"/>
  <c r="B119" i="4" s="1"/>
  <c r="B118" i="4" a="1"/>
  <c r="B118" i="4" s="1"/>
  <c r="B117" i="4" a="1"/>
  <c r="B117" i="4" s="1"/>
  <c r="B116" i="4" a="1"/>
  <c r="B116" i="4" s="1"/>
  <c r="B115" i="4" a="1"/>
  <c r="B115" i="4" s="1"/>
  <c r="B114" i="4" a="1"/>
  <c r="B114" i="4" s="1"/>
  <c r="B113" i="4" a="1"/>
  <c r="B113" i="4" s="1"/>
  <c r="B112" i="4" a="1"/>
  <c r="B112" i="4" s="1"/>
  <c r="B111" i="4" a="1"/>
  <c r="B111" i="4" s="1"/>
  <c r="B110" i="4" a="1"/>
  <c r="B110" i="4" s="1"/>
  <c r="B109" i="4" a="1"/>
  <c r="B109" i="4" s="1"/>
  <c r="B108" i="4" a="1"/>
  <c r="B108" i="4" s="1"/>
  <c r="B107" i="4" a="1"/>
  <c r="B107" i="4" s="1"/>
  <c r="B106" i="4" a="1"/>
  <c r="B106" i="4" s="1"/>
  <c r="B105" i="4" a="1"/>
  <c r="B105" i="4" s="1"/>
  <c r="B104" i="4" a="1"/>
  <c r="B104" i="4" s="1"/>
  <c r="B103" i="4" a="1"/>
  <c r="B103" i="4" s="1"/>
  <c r="B102" i="4" a="1"/>
  <c r="B102" i="4" s="1"/>
  <c r="B101" i="4" a="1"/>
  <c r="B101" i="4" s="1"/>
  <c r="B100" i="4" a="1"/>
  <c r="B100" i="4" s="1"/>
  <c r="B99" i="4" a="1"/>
  <c r="B99" i="4" s="1"/>
  <c r="B98" i="4" a="1"/>
  <c r="B98" i="4" s="1"/>
  <c r="B97" i="4" a="1"/>
  <c r="B97" i="4" s="1"/>
  <c r="B96" i="4" a="1"/>
  <c r="B96" i="4" s="1"/>
  <c r="B95" i="4" a="1"/>
  <c r="B95" i="4" s="1"/>
  <c r="B94" i="4" a="1"/>
  <c r="B94" i="4" s="1"/>
  <c r="B93" i="4" a="1"/>
  <c r="B93" i="4" s="1"/>
  <c r="B92" i="4" a="1"/>
  <c r="B92" i="4" s="1"/>
  <c r="B91" i="4" a="1"/>
  <c r="B91" i="4" s="1"/>
  <c r="B90" i="4" a="1"/>
  <c r="B90" i="4" s="1"/>
  <c r="B89" i="4" a="1"/>
  <c r="B89" i="4" s="1"/>
  <c r="B88" i="4" a="1"/>
  <c r="B88" i="4" s="1"/>
  <c r="B87" i="4" a="1"/>
  <c r="B87" i="4" s="1"/>
  <c r="B86" i="4" a="1"/>
  <c r="B86" i="4" s="1"/>
  <c r="B85" i="4" a="1"/>
  <c r="B85" i="4" s="1"/>
  <c r="B84" i="4" a="1"/>
  <c r="B84" i="4" s="1"/>
  <c r="B83" i="4" a="1"/>
  <c r="B83" i="4" s="1"/>
  <c r="B82" i="4" a="1"/>
  <c r="B82" i="4" s="1"/>
  <c r="B81" i="4" a="1"/>
  <c r="B81" i="4" s="1"/>
  <c r="B80" i="4" a="1"/>
  <c r="B80" i="4" s="1"/>
  <c r="B79" i="4" a="1"/>
  <c r="B79" i="4" s="1"/>
  <c r="B78" i="4" a="1"/>
  <c r="B78" i="4" s="1"/>
  <c r="B77" i="4" a="1"/>
  <c r="B77" i="4" s="1"/>
  <c r="B76" i="4" a="1"/>
  <c r="B76" i="4" s="1"/>
  <c r="B75" i="4" a="1"/>
  <c r="B75" i="4" s="1"/>
  <c r="B74" i="4" a="1"/>
  <c r="B74" i="4" s="1"/>
  <c r="B73" i="4" a="1"/>
  <c r="B73" i="4" s="1"/>
  <c r="B72" i="4" a="1"/>
  <c r="B72" i="4" s="1"/>
  <c r="B71" i="4" a="1"/>
  <c r="B71" i="4" s="1"/>
  <c r="B70" i="4" a="1"/>
  <c r="B70" i="4" s="1"/>
  <c r="B69" i="4" a="1"/>
  <c r="B69" i="4" s="1"/>
  <c r="B68" i="4" a="1"/>
  <c r="B68" i="4" s="1"/>
  <c r="B67" i="4" a="1"/>
  <c r="B67" i="4" s="1"/>
  <c r="B66" i="4" a="1"/>
  <c r="B66" i="4" s="1"/>
  <c r="B65" i="4" a="1"/>
  <c r="B65" i="4" s="1"/>
  <c r="B64" i="4" a="1"/>
  <c r="B64" i="4" s="1"/>
  <c r="B63" i="4" a="1"/>
  <c r="B63" i="4" s="1"/>
  <c r="B62" i="4" a="1"/>
  <c r="B62" i="4" s="1"/>
  <c r="B61" i="4" a="1"/>
  <c r="B61" i="4" s="1"/>
  <c r="B60" i="4" a="1"/>
  <c r="B60" i="4" s="1"/>
  <c r="B59" i="4" a="1"/>
  <c r="B59" i="4" s="1"/>
  <c r="B58" i="4" a="1"/>
  <c r="B58" i="4" s="1"/>
  <c r="B57" i="4" a="1"/>
  <c r="B57" i="4" s="1"/>
  <c r="B56" i="4" a="1"/>
  <c r="B56" i="4" s="1"/>
  <c r="B55" i="4" a="1"/>
  <c r="B55" i="4" s="1"/>
  <c r="B54" i="4" a="1"/>
  <c r="B54" i="4" s="1"/>
  <c r="B53" i="4" a="1"/>
  <c r="B53" i="4" s="1"/>
  <c r="B52" i="4" a="1"/>
  <c r="B52" i="4" s="1"/>
  <c r="B51" i="4" a="1"/>
  <c r="B51" i="4" s="1"/>
  <c r="B50" i="4" a="1"/>
  <c r="B50" i="4" s="1"/>
  <c r="B49" i="4" a="1"/>
  <c r="B49" i="4" s="1"/>
  <c r="B48" i="4" a="1"/>
  <c r="B48" i="4" s="1"/>
  <c r="B47" i="4" a="1"/>
  <c r="B47" i="4" s="1"/>
  <c r="B46" i="4" a="1"/>
  <c r="B46" i="4" s="1"/>
  <c r="B45" i="4" a="1"/>
  <c r="B45" i="4" s="1"/>
  <c r="B44" i="4" a="1"/>
  <c r="B44" i="4" s="1"/>
  <c r="B43" i="4" a="1"/>
  <c r="B43" i="4" s="1"/>
  <c r="B42" i="4" a="1"/>
  <c r="B42" i="4" s="1"/>
  <c r="B41" i="4" a="1"/>
  <c r="B41" i="4" s="1"/>
  <c r="B40" i="4" a="1"/>
  <c r="B40" i="4" s="1"/>
  <c r="B39" i="4" a="1"/>
  <c r="B39" i="4" s="1"/>
  <c r="B38" i="4" a="1"/>
  <c r="B38" i="4" s="1"/>
  <c r="B37" i="4" a="1"/>
  <c r="B37" i="4" s="1"/>
  <c r="B36" i="4" a="1"/>
  <c r="B36" i="4" s="1"/>
  <c r="B35" i="4" a="1"/>
  <c r="B35" i="4" s="1"/>
  <c r="B34" i="4" a="1"/>
  <c r="B34" i="4" s="1"/>
  <c r="B33" i="4" a="1"/>
  <c r="B33" i="4" s="1"/>
  <c r="B32" i="4" a="1"/>
  <c r="B32" i="4" s="1"/>
  <c r="B31" i="4" a="1"/>
  <c r="B31" i="4" s="1"/>
  <c r="B30" i="4" a="1"/>
  <c r="B30" i="4" s="1"/>
  <c r="B29" i="4" a="1"/>
  <c r="B29" i="4" s="1"/>
  <c r="B28" i="4" a="1"/>
  <c r="B28" i="4" s="1"/>
  <c r="B27" i="4" a="1"/>
  <c r="B27" i="4" s="1"/>
  <c r="B26" i="4" a="1"/>
  <c r="B26" i="4" s="1"/>
  <c r="B25" i="4" a="1"/>
  <c r="B25" i="4" s="1"/>
  <c r="B24" i="4" a="1"/>
  <c r="B24" i="4" s="1"/>
  <c r="B23" i="4" a="1"/>
  <c r="B23" i="4" s="1"/>
  <c r="B22" i="4" a="1"/>
  <c r="B22" i="4" s="1"/>
  <c r="B21" i="4" a="1"/>
  <c r="B21" i="4" s="1"/>
  <c r="B20" i="4" a="1"/>
  <c r="B20" i="4" s="1"/>
  <c r="B19" i="4" a="1"/>
  <c r="B19" i="4" s="1"/>
  <c r="B18" i="4" a="1"/>
  <c r="B18" i="4" s="1"/>
  <c r="B17" i="4" a="1"/>
  <c r="B17" i="4" s="1"/>
  <c r="B16" i="4" a="1"/>
  <c r="B16" i="4" s="1"/>
  <c r="B15" i="4" a="1"/>
  <c r="B15" i="4" s="1"/>
  <c r="B14" i="4" a="1"/>
  <c r="B14" i="4" s="1"/>
  <c r="B13" i="4" a="1"/>
  <c r="B13" i="4" s="1"/>
  <c r="B12" i="4" a="1"/>
  <c r="B12" i="4" s="1"/>
  <c r="B11" i="4" a="1"/>
  <c r="B11" i="4" s="1"/>
  <c r="B10" i="4" a="1"/>
  <c r="B10" i="4" s="1"/>
  <c r="B9" i="4" a="1"/>
  <c r="B9" i="4" s="1"/>
  <c r="B8" i="4" a="1"/>
  <c r="B8" i="4" s="1"/>
  <c r="B7" i="4" a="1"/>
  <c r="B7" i="4" s="1"/>
  <c r="B6" i="4" a="1"/>
  <c r="B6" i="4" s="1"/>
  <c r="B5" i="4" a="1"/>
  <c r="B5" i="4" s="1"/>
  <c r="B4" i="4" a="1"/>
  <c r="B4" i="4" s="1"/>
  <c r="B3" i="4" a="1"/>
  <c r="B3" i="4" s="1"/>
  <c r="B2" i="4" a="1"/>
  <c r="B2" i="4" s="1"/>
  <c r="A2" i="4" a="1"/>
  <c r="A37" i="4" s="1"/>
  <c r="M5" i="5" l="1"/>
  <c r="W8" i="5"/>
  <c r="K5" i="5"/>
  <c r="W5" i="5"/>
  <c r="P8" i="5"/>
  <c r="U13" i="5"/>
  <c r="AC15" i="5"/>
  <c r="AD5" i="5"/>
  <c r="AI8" i="5"/>
  <c r="K10" i="5"/>
  <c r="P11" i="5"/>
  <c r="AF15" i="5"/>
  <c r="P28" i="5"/>
  <c r="S31" i="5"/>
  <c r="J10" i="5"/>
  <c r="L28" i="5"/>
  <c r="AF28" i="5"/>
  <c r="AH29" i="5"/>
  <c r="AE20" i="5"/>
  <c r="F28" i="5"/>
  <c r="L5" i="5"/>
  <c r="AI5" i="5"/>
  <c r="V8" i="5"/>
  <c r="AB15" i="5"/>
  <c r="F16" i="5"/>
  <c r="I20" i="5"/>
  <c r="Z25" i="5"/>
  <c r="AB28" i="5"/>
  <c r="K28" i="5"/>
  <c r="AE28" i="5"/>
  <c r="N5" i="5"/>
  <c r="W20" i="5"/>
  <c r="V5" i="5"/>
  <c r="AA10" i="5"/>
  <c r="O11" i="5"/>
  <c r="V16" i="5"/>
  <c r="R17" i="5"/>
  <c r="AB20" i="5"/>
  <c r="O28" i="5"/>
  <c r="AI28" i="5"/>
  <c r="AF29" i="5"/>
  <c r="R31" i="5"/>
  <c r="F33" i="5"/>
  <c r="X5" i="5"/>
  <c r="Q11" i="5"/>
  <c r="R28" i="5"/>
  <c r="AA31" i="5"/>
  <c r="J5" i="5"/>
  <c r="Z5" i="5"/>
  <c r="O8" i="5"/>
  <c r="X11" i="5"/>
  <c r="S28" i="5"/>
  <c r="Y11" i="5"/>
  <c r="V13" i="5"/>
  <c r="Q15" i="5"/>
  <c r="I28" i="5"/>
  <c r="AA28" i="5"/>
  <c r="U5" i="5"/>
  <c r="AH5" i="5"/>
  <c r="I6" i="5"/>
  <c r="AC6" i="5"/>
  <c r="Z10" i="5"/>
  <c r="T13" i="5"/>
  <c r="AF14" i="5"/>
  <c r="S20" i="5"/>
  <c r="V26" i="5"/>
  <c r="I27" i="5"/>
  <c r="W29" i="5"/>
  <c r="AE6" i="5"/>
  <c r="X3" i="5"/>
  <c r="O6" i="5"/>
  <c r="H9" i="5"/>
  <c r="F12" i="5"/>
  <c r="AD13" i="5"/>
  <c r="O21" i="5"/>
  <c r="T27" i="5"/>
  <c r="V34" i="5"/>
  <c r="H36" i="5"/>
  <c r="N6" i="5"/>
  <c r="P27" i="5"/>
  <c r="P6" i="5"/>
  <c r="AE13" i="5"/>
  <c r="V21" i="5"/>
  <c r="W27" i="5"/>
  <c r="N29" i="5"/>
  <c r="W34" i="5"/>
  <c r="J38" i="5"/>
  <c r="U2" i="5"/>
  <c r="Q6" i="5"/>
  <c r="J13" i="5"/>
  <c r="AF13" i="5"/>
  <c r="R14" i="5"/>
  <c r="W21" i="5"/>
  <c r="AB27" i="5"/>
  <c r="O29" i="5"/>
  <c r="AA34" i="5"/>
  <c r="K38" i="5"/>
  <c r="O5" i="5"/>
  <c r="AE5" i="5"/>
  <c r="Y6" i="5"/>
  <c r="L10" i="5"/>
  <c r="K13" i="5"/>
  <c r="V14" i="5"/>
  <c r="W17" i="5"/>
  <c r="X21" i="5"/>
  <c r="AI25" i="5"/>
  <c r="R26" i="5"/>
  <c r="X28" i="5"/>
  <c r="P29" i="5"/>
  <c r="AC38" i="5"/>
  <c r="T5" i="5"/>
  <c r="AF5" i="5"/>
  <c r="Z6" i="5"/>
  <c r="Y10" i="5"/>
  <c r="L13" i="5"/>
  <c r="AD14" i="5"/>
  <c r="AI17" i="5"/>
  <c r="R20" i="5"/>
  <c r="AE21" i="5"/>
  <c r="T26" i="5"/>
  <c r="J28" i="5"/>
  <c r="Z28" i="5"/>
  <c r="V29" i="5"/>
  <c r="AE38" i="5"/>
  <c r="R2" i="5"/>
  <c r="V10" i="5"/>
  <c r="S13" i="5"/>
  <c r="AC13" i="5"/>
  <c r="P16" i="5"/>
  <c r="I24" i="5"/>
  <c r="R33" i="5"/>
  <c r="AA38" i="5"/>
  <c r="X33" i="5"/>
  <c r="Z2" i="5"/>
  <c r="W16" i="5"/>
  <c r="L19" i="5"/>
  <c r="P24" i="5"/>
  <c r="H32" i="5"/>
  <c r="Z33" i="5"/>
  <c r="M38" i="5"/>
  <c r="X16" i="5"/>
  <c r="Y19" i="5"/>
  <c r="AA33" i="5"/>
  <c r="K2" i="5"/>
  <c r="AB2" i="5"/>
  <c r="U6" i="5"/>
  <c r="AF6" i="5"/>
  <c r="X8" i="5"/>
  <c r="M10" i="5"/>
  <c r="AD10" i="5"/>
  <c r="M13" i="5"/>
  <c r="W13" i="5"/>
  <c r="AH13" i="5"/>
  <c r="AG14" i="5"/>
  <c r="L16" i="5"/>
  <c r="AA16" i="5"/>
  <c r="AF19" i="5"/>
  <c r="AB24" i="5"/>
  <c r="AC27" i="5"/>
  <c r="K33" i="5"/>
  <c r="AB33" i="5"/>
  <c r="O38" i="5"/>
  <c r="L2" i="5"/>
  <c r="AC2" i="5"/>
  <c r="J6" i="5"/>
  <c r="V6" i="5"/>
  <c r="AG6" i="5"/>
  <c r="L8" i="5"/>
  <c r="AA8" i="5"/>
  <c r="N10" i="5"/>
  <c r="AG10" i="5"/>
  <c r="AB11" i="5"/>
  <c r="N13" i="5"/>
  <c r="X13" i="5"/>
  <c r="AI13" i="5"/>
  <c r="M14" i="5"/>
  <c r="AH14" i="5"/>
  <c r="M16" i="5"/>
  <c r="AB16" i="5"/>
  <c r="AF20" i="5"/>
  <c r="AF21" i="5"/>
  <c r="AC24" i="5"/>
  <c r="O25" i="5"/>
  <c r="L27" i="5"/>
  <c r="AE27" i="5"/>
  <c r="X29" i="5"/>
  <c r="L33" i="5"/>
  <c r="AD33" i="5"/>
  <c r="K34" i="5"/>
  <c r="Q38" i="5"/>
  <c r="J2" i="5"/>
  <c r="AA2" i="5"/>
  <c r="S24" i="5"/>
  <c r="M2" i="5"/>
  <c r="AI2" i="5"/>
  <c r="R3" i="5"/>
  <c r="I5" i="5"/>
  <c r="P5" i="5"/>
  <c r="AB5" i="5"/>
  <c r="K6" i="5"/>
  <c r="W6" i="5"/>
  <c r="AH6" i="5"/>
  <c r="M8" i="5"/>
  <c r="AB8" i="5"/>
  <c r="Q10" i="5"/>
  <c r="AH10" i="5"/>
  <c r="M11" i="5"/>
  <c r="AC11" i="5"/>
  <c r="O13" i="5"/>
  <c r="Z13" i="5"/>
  <c r="N14" i="5"/>
  <c r="M15" i="5"/>
  <c r="N16" i="5"/>
  <c r="AF16" i="5"/>
  <c r="J20" i="5"/>
  <c r="AI20" i="5"/>
  <c r="M21" i="5"/>
  <c r="AH21" i="5"/>
  <c r="R22" i="5"/>
  <c r="G24" i="5"/>
  <c r="Q25" i="5"/>
  <c r="M27" i="5"/>
  <c r="AF27" i="5"/>
  <c r="L29" i="5"/>
  <c r="Z29" i="5"/>
  <c r="N33" i="5"/>
  <c r="N34" i="5"/>
  <c r="Y38" i="5"/>
  <c r="Q2" i="5"/>
  <c r="T3" i="5"/>
  <c r="S5" i="5"/>
  <c r="AC5" i="5"/>
  <c r="M6" i="5"/>
  <c r="X6" i="5"/>
  <c r="N8" i="5"/>
  <c r="AF8" i="5"/>
  <c r="G9" i="5"/>
  <c r="T10" i="5"/>
  <c r="N11" i="5"/>
  <c r="AD11" i="5"/>
  <c r="H12" i="5"/>
  <c r="I13" i="5"/>
  <c r="P13" i="5"/>
  <c r="AB13" i="5"/>
  <c r="Q14" i="5"/>
  <c r="P15" i="5"/>
  <c r="O16" i="5"/>
  <c r="AI16" i="5"/>
  <c r="Q17" i="5"/>
  <c r="P20" i="5"/>
  <c r="N21" i="5"/>
  <c r="X22" i="5"/>
  <c r="H24" i="5"/>
  <c r="W25" i="5"/>
  <c r="O27" i="5"/>
  <c r="W28" i="5"/>
  <c r="M29" i="5"/>
  <c r="AB29" i="5"/>
  <c r="P33" i="5"/>
  <c r="O34" i="5"/>
  <c r="Z38" i="5"/>
  <c r="G20" i="5"/>
  <c r="F20" i="5"/>
  <c r="F6" i="5"/>
  <c r="G6" i="5"/>
  <c r="H17" i="5"/>
  <c r="F17" i="5"/>
  <c r="G3" i="5"/>
  <c r="G17" i="5"/>
  <c r="V32" i="5"/>
  <c r="S32" i="5"/>
  <c r="AI32" i="5"/>
  <c r="Q32" i="5"/>
  <c r="AG32" i="5"/>
  <c r="N32" i="5"/>
  <c r="AE32" i="5"/>
  <c r="M32" i="5"/>
  <c r="W32" i="5"/>
  <c r="I32" i="5"/>
  <c r="A10" i="4"/>
  <c r="T12" i="5"/>
  <c r="AH12" i="5"/>
  <c r="R12" i="5"/>
  <c r="AG12" i="5"/>
  <c r="Q12" i="5"/>
  <c r="AF12" i="5"/>
  <c r="L12" i="5"/>
  <c r="AB12" i="5"/>
  <c r="K12" i="5"/>
  <c r="W12" i="5"/>
  <c r="I12" i="5"/>
  <c r="A29" i="4"/>
  <c r="H3" i="5"/>
  <c r="X12" i="5"/>
  <c r="K32" i="5"/>
  <c r="AG36" i="5"/>
  <c r="AC36" i="5"/>
  <c r="T36" i="5"/>
  <c r="Q36" i="5"/>
  <c r="AI37" i="5"/>
  <c r="AE37" i="5"/>
  <c r="R37" i="5"/>
  <c r="AD37" i="5"/>
  <c r="P37" i="5"/>
  <c r="AB37" i="5"/>
  <c r="O37" i="5"/>
  <c r="Z37" i="5"/>
  <c r="N37" i="5"/>
  <c r="X37" i="5"/>
  <c r="L37" i="5"/>
  <c r="AF37" i="5"/>
  <c r="T37" i="5"/>
  <c r="I37" i="5"/>
  <c r="A11" i="4"/>
  <c r="A34" i="4"/>
  <c r="X7" i="5"/>
  <c r="AI7" i="5"/>
  <c r="AC7" i="5"/>
  <c r="AB7" i="5"/>
  <c r="S7" i="5"/>
  <c r="AA12" i="5"/>
  <c r="X32" i="5"/>
  <c r="O36" i="5"/>
  <c r="J37" i="5"/>
  <c r="P7" i="5"/>
  <c r="AA30" i="5"/>
  <c r="Z30" i="5"/>
  <c r="U30" i="5"/>
  <c r="S30" i="5"/>
  <c r="Q30" i="5"/>
  <c r="P30" i="5"/>
  <c r="AF30" i="5"/>
  <c r="AG31" i="5"/>
  <c r="AH31" i="5"/>
  <c r="X31" i="5"/>
  <c r="O31" i="5"/>
  <c r="AF31" i="5"/>
  <c r="W31" i="5"/>
  <c r="N31" i="5"/>
  <c r="AE31" i="5"/>
  <c r="V31" i="5"/>
  <c r="M31" i="5"/>
  <c r="AD31" i="5"/>
  <c r="U31" i="5"/>
  <c r="L31" i="5"/>
  <c r="AC31" i="5"/>
  <c r="T31" i="5"/>
  <c r="K31" i="5"/>
  <c r="AI31" i="5"/>
  <c r="Z31" i="5"/>
  <c r="P31" i="5"/>
  <c r="I31" i="5"/>
  <c r="AC32" i="5"/>
  <c r="V37" i="5"/>
  <c r="H2" i="5"/>
  <c r="G2" i="5"/>
  <c r="Q7" i="5"/>
  <c r="AG18" i="5"/>
  <c r="AB18" i="5"/>
  <c r="J30" i="5"/>
  <c r="J31" i="5"/>
  <c r="W37" i="5"/>
  <c r="O3" i="5"/>
  <c r="K8" i="5"/>
  <c r="U8" i="5"/>
  <c r="AE8" i="5"/>
  <c r="L11" i="5"/>
  <c r="W11" i="5"/>
  <c r="J14" i="5"/>
  <c r="AC14" i="5"/>
  <c r="L15" i="5"/>
  <c r="AA15" i="5"/>
  <c r="K16" i="5"/>
  <c r="U16" i="5"/>
  <c r="AE16" i="5"/>
  <c r="O17" i="5"/>
  <c r="AE17" i="5"/>
  <c r="G18" i="5"/>
  <c r="X19" i="5"/>
  <c r="O20" i="5"/>
  <c r="AA20" i="5"/>
  <c r="L21" i="5"/>
  <c r="U21" i="5"/>
  <c r="AD21" i="5"/>
  <c r="Q22" i="5"/>
  <c r="O24" i="5"/>
  <c r="AA24" i="5"/>
  <c r="M26" i="5"/>
  <c r="X27" i="5"/>
  <c r="J29" i="5"/>
  <c r="U29" i="5"/>
  <c r="AE29" i="5"/>
  <c r="J33" i="5"/>
  <c r="V33" i="5"/>
  <c r="AI33" i="5"/>
  <c r="W38" i="5"/>
  <c r="Y22" i="5"/>
  <c r="T24" i="5"/>
  <c r="AD24" i="5"/>
  <c r="I3" i="5"/>
  <c r="Y3" i="5"/>
  <c r="G14" i="5"/>
  <c r="I15" i="5"/>
  <c r="S15" i="5"/>
  <c r="AI15" i="5"/>
  <c r="G16" i="5"/>
  <c r="Y17" i="5"/>
  <c r="T20" i="5"/>
  <c r="AH20" i="5"/>
  <c r="I21" i="5"/>
  <c r="P21" i="5"/>
  <c r="Z21" i="5"/>
  <c r="AI21" i="5"/>
  <c r="J22" i="5"/>
  <c r="Z22" i="5"/>
  <c r="K24" i="5"/>
  <c r="U24" i="5"/>
  <c r="AE24" i="5"/>
  <c r="F25" i="5"/>
  <c r="Y26" i="5"/>
  <c r="H28" i="5"/>
  <c r="F35" i="5"/>
  <c r="F37" i="5"/>
  <c r="Z3" i="5"/>
  <c r="W9" i="5"/>
  <c r="H14" i="5"/>
  <c r="U15" i="5"/>
  <c r="J17" i="5"/>
  <c r="Z17" i="5"/>
  <c r="R21" i="5"/>
  <c r="AA21" i="5"/>
  <c r="M22" i="5"/>
  <c r="AC22" i="5"/>
  <c r="L24" i="5"/>
  <c r="V24" i="5"/>
  <c r="AF24" i="5"/>
  <c r="Z26" i="5"/>
  <c r="G33" i="5"/>
  <c r="V2" i="5"/>
  <c r="J3" i="5"/>
  <c r="AD3" i="5"/>
  <c r="R5" i="5"/>
  <c r="AA5" i="5"/>
  <c r="S6" i="5"/>
  <c r="I8" i="5"/>
  <c r="S8" i="5"/>
  <c r="AC8" i="5"/>
  <c r="AF9" i="5"/>
  <c r="U10" i="5"/>
  <c r="AI10" i="5"/>
  <c r="I11" i="5"/>
  <c r="T11" i="5"/>
  <c r="AF11" i="5"/>
  <c r="R13" i="5"/>
  <c r="AA13" i="5"/>
  <c r="I14" i="5"/>
  <c r="W14" i="5"/>
  <c r="J15" i="5"/>
  <c r="X15" i="5"/>
  <c r="I16" i="5"/>
  <c r="S16" i="5"/>
  <c r="AC16" i="5"/>
  <c r="K17" i="5"/>
  <c r="AA17" i="5"/>
  <c r="M19" i="5"/>
  <c r="K20" i="5"/>
  <c r="X20" i="5"/>
  <c r="J21" i="5"/>
  <c r="S21" i="5"/>
  <c r="AB21" i="5"/>
  <c r="N22" i="5"/>
  <c r="AD22" i="5"/>
  <c r="M24" i="5"/>
  <c r="W24" i="5"/>
  <c r="AI24" i="5"/>
  <c r="G25" i="5"/>
  <c r="J26" i="5"/>
  <c r="AD26" i="5"/>
  <c r="U27" i="5"/>
  <c r="T28" i="5"/>
  <c r="AH28" i="5"/>
  <c r="I29" i="5"/>
  <c r="R29" i="5"/>
  <c r="AC29" i="5"/>
  <c r="F31" i="5"/>
  <c r="I33" i="5"/>
  <c r="S33" i="5"/>
  <c r="AF33" i="5"/>
  <c r="G35" i="5"/>
  <c r="F36" i="5"/>
  <c r="G37" i="5"/>
  <c r="R38" i="5"/>
  <c r="AG38" i="5"/>
  <c r="L3" i="5"/>
  <c r="T8" i="5"/>
  <c r="AD8" i="5"/>
  <c r="V11" i="5"/>
  <c r="K15" i="5"/>
  <c r="T16" i="5"/>
  <c r="AD16" i="5"/>
  <c r="N17" i="5"/>
  <c r="AD17" i="5"/>
  <c r="L20" i="5"/>
  <c r="Z20" i="5"/>
  <c r="K21" i="5"/>
  <c r="T21" i="5"/>
  <c r="AC21" i="5"/>
  <c r="P22" i="5"/>
  <c r="AF22" i="5"/>
  <c r="N24" i="5"/>
  <c r="X24" i="5"/>
  <c r="L26" i="5"/>
  <c r="T29" i="5"/>
  <c r="AD29" i="5"/>
  <c r="T33" i="5"/>
  <c r="AH33" i="5"/>
  <c r="S38" i="5"/>
  <c r="H7" i="5"/>
  <c r="G7" i="5"/>
  <c r="F7" i="5"/>
  <c r="A13" i="4"/>
  <c r="A35" i="4"/>
  <c r="G19" i="5"/>
  <c r="F19" i="5"/>
  <c r="A18" i="4"/>
  <c r="A19" i="4"/>
  <c r="H13" i="5"/>
  <c r="G13" i="5"/>
  <c r="F13" i="5"/>
  <c r="AD4" i="5"/>
  <c r="V4" i="5"/>
  <c r="N4" i="5"/>
  <c r="AF4" i="5"/>
  <c r="W4" i="5"/>
  <c r="M4" i="5"/>
  <c r="AE4" i="5"/>
  <c r="U4" i="5"/>
  <c r="L4" i="5"/>
  <c r="AA4" i="5"/>
  <c r="P4" i="5"/>
  <c r="Z4" i="5"/>
  <c r="O4" i="5"/>
  <c r="Y4" i="5"/>
  <c r="K4" i="5"/>
  <c r="AI4" i="5"/>
  <c r="X4" i="5"/>
  <c r="J4" i="5"/>
  <c r="AG4" i="5"/>
  <c r="S4" i="5"/>
  <c r="I4" i="5"/>
  <c r="AH4" i="5"/>
  <c r="AC4" i="5"/>
  <c r="AB4" i="5"/>
  <c r="T4" i="5"/>
  <c r="R4" i="5"/>
  <c r="H10" i="5"/>
  <c r="G10" i="5"/>
  <c r="G11" i="5"/>
  <c r="H11" i="5"/>
  <c r="A33" i="4"/>
  <c r="A25" i="4"/>
  <c r="A17" i="4"/>
  <c r="A9" i="4"/>
  <c r="A2" i="4"/>
  <c r="A39" i="4"/>
  <c r="A31" i="4"/>
  <c r="A23" i="4"/>
  <c r="A15" i="4"/>
  <c r="A32" i="4"/>
  <c r="A24" i="4"/>
  <c r="A16" i="4"/>
  <c r="A8" i="4"/>
  <c r="A7" i="4"/>
  <c r="A38" i="4"/>
  <c r="A30" i="4"/>
  <c r="A22" i="4"/>
  <c r="A14" i="4"/>
  <c r="A6" i="4"/>
  <c r="A36" i="4"/>
  <c r="A28" i="4"/>
  <c r="A20" i="4"/>
  <c r="A12" i="4"/>
  <c r="A4" i="4"/>
  <c r="A3" i="4"/>
  <c r="A26" i="4"/>
  <c r="Q4" i="5"/>
  <c r="A21" i="4"/>
  <c r="A5" i="4"/>
  <c r="A27" i="4"/>
  <c r="H5" i="5"/>
  <c r="G5" i="5"/>
  <c r="F5" i="5"/>
  <c r="F8" i="5"/>
  <c r="G8" i="5"/>
  <c r="AC9" i="5"/>
  <c r="U9" i="5"/>
  <c r="M9" i="5"/>
  <c r="AB9" i="5"/>
  <c r="T9" i="5"/>
  <c r="L9" i="5"/>
  <c r="Z9" i="5"/>
  <c r="P9" i="5"/>
  <c r="AI9" i="5"/>
  <c r="Y9" i="5"/>
  <c r="O9" i="5"/>
  <c r="AE9" i="5"/>
  <c r="Q9" i="5"/>
  <c r="AD9" i="5"/>
  <c r="N9" i="5"/>
  <c r="AA9" i="5"/>
  <c r="K9" i="5"/>
  <c r="X9" i="5"/>
  <c r="J9" i="5"/>
  <c r="AH9" i="5"/>
  <c r="V9" i="5"/>
  <c r="I9" i="5"/>
  <c r="AE23" i="5"/>
  <c r="W23" i="5"/>
  <c r="O23" i="5"/>
  <c r="AD23" i="5"/>
  <c r="V23" i="5"/>
  <c r="N23" i="5"/>
  <c r="AH23" i="5"/>
  <c r="Z23" i="5"/>
  <c r="R23" i="5"/>
  <c r="J23" i="5"/>
  <c r="AG23" i="5"/>
  <c r="T23" i="5"/>
  <c r="I23" i="5"/>
  <c r="AF23" i="5"/>
  <c r="S23" i="5"/>
  <c r="Y23" i="5"/>
  <c r="L23" i="5"/>
  <c r="Q23" i="5"/>
  <c r="P23" i="5"/>
  <c r="AI23" i="5"/>
  <c r="M23" i="5"/>
  <c r="AC23" i="5"/>
  <c r="K23" i="5"/>
  <c r="AA23" i="5"/>
  <c r="H29" i="5"/>
  <c r="F29" i="5"/>
  <c r="G29" i="5"/>
  <c r="G4" i="5"/>
  <c r="F4" i="5"/>
  <c r="H8" i="5"/>
  <c r="R9" i="5"/>
  <c r="AF18" i="5"/>
  <c r="X18" i="5"/>
  <c r="P18" i="5"/>
  <c r="I18" i="5"/>
  <c r="AE18" i="5"/>
  <c r="W18" i="5"/>
  <c r="O18" i="5"/>
  <c r="AI18" i="5"/>
  <c r="AA18" i="5"/>
  <c r="S18" i="5"/>
  <c r="K18" i="5"/>
  <c r="AD18" i="5"/>
  <c r="R18" i="5"/>
  <c r="AC18" i="5"/>
  <c r="Q18" i="5"/>
  <c r="V18" i="5"/>
  <c r="J18" i="5"/>
  <c r="Z18" i="5"/>
  <c r="Y18" i="5"/>
  <c r="U18" i="5"/>
  <c r="T18" i="5"/>
  <c r="AH18" i="5"/>
  <c r="M18" i="5"/>
  <c r="U23" i="5"/>
  <c r="G27" i="5"/>
  <c r="H27" i="5"/>
  <c r="H4" i="5"/>
  <c r="S9" i="5"/>
  <c r="L18" i="5"/>
  <c r="X23" i="5"/>
  <c r="AI3" i="5"/>
  <c r="AA3" i="5"/>
  <c r="S3" i="5"/>
  <c r="K3" i="5"/>
  <c r="AF3" i="5"/>
  <c r="W3" i="5"/>
  <c r="N3" i="5"/>
  <c r="AE3" i="5"/>
  <c r="V3" i="5"/>
  <c r="M3" i="5"/>
  <c r="U3" i="5"/>
  <c r="AH3" i="5"/>
  <c r="R7" i="5"/>
  <c r="AH7" i="5"/>
  <c r="H15" i="5"/>
  <c r="G15" i="5"/>
  <c r="AI19" i="5"/>
  <c r="AA19" i="5"/>
  <c r="S19" i="5"/>
  <c r="K19" i="5"/>
  <c r="AH19" i="5"/>
  <c r="Z19" i="5"/>
  <c r="R19" i="5"/>
  <c r="J19" i="5"/>
  <c r="AD19" i="5"/>
  <c r="V19" i="5"/>
  <c r="N19" i="5"/>
  <c r="AC19" i="5"/>
  <c r="P19" i="5"/>
  <c r="AB19" i="5"/>
  <c r="O19" i="5"/>
  <c r="AG19" i="5"/>
  <c r="U19" i="5"/>
  <c r="I19" i="5"/>
  <c r="AE19" i="5"/>
  <c r="G30" i="5"/>
  <c r="F30" i="5"/>
  <c r="H30" i="5"/>
  <c r="AC35" i="5"/>
  <c r="U35" i="5"/>
  <c r="M35" i="5"/>
  <c r="AI35" i="5"/>
  <c r="AA35" i="5"/>
  <c r="S35" i="5"/>
  <c r="K35" i="5"/>
  <c r="AE35" i="5"/>
  <c r="W35" i="5"/>
  <c r="O35" i="5"/>
  <c r="AB35" i="5"/>
  <c r="P35" i="5"/>
  <c r="Z35" i="5"/>
  <c r="N35" i="5"/>
  <c r="Y35" i="5"/>
  <c r="L35" i="5"/>
  <c r="AG35" i="5"/>
  <c r="T35" i="5"/>
  <c r="I35" i="5"/>
  <c r="AD35" i="5"/>
  <c r="X35" i="5"/>
  <c r="V35" i="5"/>
  <c r="J35" i="5"/>
  <c r="I7" i="5"/>
  <c r="Q35" i="5"/>
  <c r="AE7" i="5"/>
  <c r="W7" i="5"/>
  <c r="O7" i="5"/>
  <c r="AD7" i="5"/>
  <c r="V7" i="5"/>
  <c r="N7" i="5"/>
  <c r="AG7" i="5"/>
  <c r="U7" i="5"/>
  <c r="K7" i="5"/>
  <c r="AF7" i="5"/>
  <c r="T7" i="5"/>
  <c r="J7" i="5"/>
  <c r="Y7" i="5"/>
  <c r="G21" i="5"/>
  <c r="F22" i="5"/>
  <c r="H22" i="5"/>
  <c r="AC25" i="5"/>
  <c r="U25" i="5"/>
  <c r="M25" i="5"/>
  <c r="AB25" i="5"/>
  <c r="T25" i="5"/>
  <c r="L25" i="5"/>
  <c r="AF25" i="5"/>
  <c r="X25" i="5"/>
  <c r="P25" i="5"/>
  <c r="I25" i="5"/>
  <c r="AG25" i="5"/>
  <c r="S25" i="5"/>
  <c r="AE25" i="5"/>
  <c r="R25" i="5"/>
  <c r="Y25" i="5"/>
  <c r="K25" i="5"/>
  <c r="AA25" i="5"/>
  <c r="R35" i="5"/>
  <c r="S2" i="5"/>
  <c r="P3" i="5"/>
  <c r="AB3" i="5"/>
  <c r="H6" i="5"/>
  <c r="L7" i="5"/>
  <c r="Z7" i="5"/>
  <c r="T19" i="5"/>
  <c r="H21" i="5"/>
  <c r="G22" i="5"/>
  <c r="J25" i="5"/>
  <c r="AD25" i="5"/>
  <c r="H26" i="5"/>
  <c r="F26" i="5"/>
  <c r="AF35" i="5"/>
  <c r="AF2" i="5"/>
  <c r="X2" i="5"/>
  <c r="P2" i="5"/>
  <c r="I2" i="5"/>
  <c r="AH2" i="5"/>
  <c r="Y2" i="5"/>
  <c r="O2" i="5"/>
  <c r="AG2" i="5"/>
  <c r="W2" i="5"/>
  <c r="N2" i="5"/>
  <c r="T2" i="5"/>
  <c r="AE2" i="5"/>
  <c r="Q3" i="5"/>
  <c r="AC3" i="5"/>
  <c r="M7" i="5"/>
  <c r="AA7" i="5"/>
  <c r="W19" i="5"/>
  <c r="N25" i="5"/>
  <c r="AH25" i="5"/>
  <c r="AH35" i="5"/>
  <c r="AD12" i="5"/>
  <c r="V12" i="5"/>
  <c r="N12" i="5"/>
  <c r="AC12" i="5"/>
  <c r="U12" i="5"/>
  <c r="M12" i="5"/>
  <c r="S12" i="5"/>
  <c r="AE12" i="5"/>
  <c r="AB14" i="5"/>
  <c r="T14" i="5"/>
  <c r="L14" i="5"/>
  <c r="AI14" i="5"/>
  <c r="AA14" i="5"/>
  <c r="S14" i="5"/>
  <c r="K14" i="5"/>
  <c r="U14" i="5"/>
  <c r="AE14" i="5"/>
  <c r="AF26" i="5"/>
  <c r="X26" i="5"/>
  <c r="P26" i="5"/>
  <c r="I26" i="5"/>
  <c r="AE26" i="5"/>
  <c r="W26" i="5"/>
  <c r="O26" i="5"/>
  <c r="AI26" i="5"/>
  <c r="AA26" i="5"/>
  <c r="S26" i="5"/>
  <c r="K26" i="5"/>
  <c r="U26" i="5"/>
  <c r="AH26" i="5"/>
  <c r="AF36" i="5"/>
  <c r="X36" i="5"/>
  <c r="P36" i="5"/>
  <c r="I36" i="5"/>
  <c r="AD36" i="5"/>
  <c r="V36" i="5"/>
  <c r="N36" i="5"/>
  <c r="AH36" i="5"/>
  <c r="Z36" i="5"/>
  <c r="R36" i="5"/>
  <c r="J36" i="5"/>
  <c r="AA36" i="5"/>
  <c r="M36" i="5"/>
  <c r="Y36" i="5"/>
  <c r="L36" i="5"/>
  <c r="W36" i="5"/>
  <c r="K36" i="5"/>
  <c r="AE36" i="5"/>
  <c r="S36" i="5"/>
  <c r="AI36" i="5"/>
  <c r="AB6" i="5"/>
  <c r="T6" i="5"/>
  <c r="L6" i="5"/>
  <c r="AI6" i="5"/>
  <c r="R6" i="5"/>
  <c r="AA6" i="5"/>
  <c r="R10" i="5"/>
  <c r="AI11" i="5"/>
  <c r="AA11" i="5"/>
  <c r="S11" i="5"/>
  <c r="K11" i="5"/>
  <c r="AH11" i="5"/>
  <c r="Z11" i="5"/>
  <c r="R11" i="5"/>
  <c r="J11" i="5"/>
  <c r="U11" i="5"/>
  <c r="AE11" i="5"/>
  <c r="O12" i="5"/>
  <c r="Y12" i="5"/>
  <c r="AI12" i="5"/>
  <c r="O14" i="5"/>
  <c r="Y14" i="5"/>
  <c r="AE15" i="5"/>
  <c r="W15" i="5"/>
  <c r="O15" i="5"/>
  <c r="AD15" i="5"/>
  <c r="V15" i="5"/>
  <c r="N15" i="5"/>
  <c r="AH15" i="5"/>
  <c r="Z15" i="5"/>
  <c r="R15" i="5"/>
  <c r="T15" i="5"/>
  <c r="AG15" i="5"/>
  <c r="S17" i="5"/>
  <c r="F18" i="5"/>
  <c r="I22" i="5"/>
  <c r="U22" i="5"/>
  <c r="H23" i="5"/>
  <c r="G23" i="5"/>
  <c r="N26" i="5"/>
  <c r="AB26" i="5"/>
  <c r="U36" i="5"/>
  <c r="AF10" i="5"/>
  <c r="X10" i="5"/>
  <c r="P10" i="5"/>
  <c r="I10" i="5"/>
  <c r="AE10" i="5"/>
  <c r="W10" i="5"/>
  <c r="O10" i="5"/>
  <c r="S10" i="5"/>
  <c r="AC10" i="5"/>
  <c r="P12" i="5"/>
  <c r="Z12" i="5"/>
  <c r="P14" i="5"/>
  <c r="Z14" i="5"/>
  <c r="AC17" i="5"/>
  <c r="U17" i="5"/>
  <c r="M17" i="5"/>
  <c r="AB17" i="5"/>
  <c r="T17" i="5"/>
  <c r="L17" i="5"/>
  <c r="AF17" i="5"/>
  <c r="X17" i="5"/>
  <c r="P17" i="5"/>
  <c r="I17" i="5"/>
  <c r="V17" i="5"/>
  <c r="AH17" i="5"/>
  <c r="AB22" i="5"/>
  <c r="T22" i="5"/>
  <c r="L22" i="5"/>
  <c r="AI22" i="5"/>
  <c r="AA22" i="5"/>
  <c r="S22" i="5"/>
  <c r="K22" i="5"/>
  <c r="AE22" i="5"/>
  <c r="W22" i="5"/>
  <c r="O22" i="5"/>
  <c r="V22" i="5"/>
  <c r="AH22" i="5"/>
  <c r="Q26" i="5"/>
  <c r="AC26" i="5"/>
  <c r="AD30" i="5"/>
  <c r="V30" i="5"/>
  <c r="N30" i="5"/>
  <c r="AB30" i="5"/>
  <c r="T30" i="5"/>
  <c r="L30" i="5"/>
  <c r="AI30" i="5"/>
  <c r="Y30" i="5"/>
  <c r="O30" i="5"/>
  <c r="AH30" i="5"/>
  <c r="X30" i="5"/>
  <c r="M30" i="5"/>
  <c r="AG30" i="5"/>
  <c r="W30" i="5"/>
  <c r="K30" i="5"/>
  <c r="AC30" i="5"/>
  <c r="R30" i="5"/>
  <c r="I30" i="5"/>
  <c r="AE30" i="5"/>
  <c r="AH34" i="5"/>
  <c r="Z34" i="5"/>
  <c r="R34" i="5"/>
  <c r="J34" i="5"/>
  <c r="AF34" i="5"/>
  <c r="X34" i="5"/>
  <c r="P34" i="5"/>
  <c r="I34" i="5"/>
  <c r="AB34" i="5"/>
  <c r="T34" i="5"/>
  <c r="L34" i="5"/>
  <c r="AG34" i="5"/>
  <c r="U34" i="5"/>
  <c r="AE34" i="5"/>
  <c r="S34" i="5"/>
  <c r="AD34" i="5"/>
  <c r="Q34" i="5"/>
  <c r="Y34" i="5"/>
  <c r="M34" i="5"/>
  <c r="AI34" i="5"/>
  <c r="AB36" i="5"/>
  <c r="Q20" i="5"/>
  <c r="Y20" i="5"/>
  <c r="AG20" i="5"/>
  <c r="N27" i="5"/>
  <c r="V27" i="5"/>
  <c r="AD27" i="5"/>
  <c r="Q28" i="5"/>
  <c r="Y28" i="5"/>
  <c r="AG28" i="5"/>
  <c r="AB32" i="5"/>
  <c r="T32" i="5"/>
  <c r="L32" i="5"/>
  <c r="AH32" i="5"/>
  <c r="Z32" i="5"/>
  <c r="R32" i="5"/>
  <c r="J32" i="5"/>
  <c r="AD32" i="5"/>
  <c r="U32" i="5"/>
  <c r="AF32" i="5"/>
  <c r="Q27" i="5"/>
  <c r="Y27" i="5"/>
  <c r="AG27" i="5"/>
  <c r="G38" i="5"/>
  <c r="F38" i="5"/>
  <c r="Q8" i="5"/>
  <c r="Y8" i="5"/>
  <c r="AG8" i="5"/>
  <c r="Q16" i="5"/>
  <c r="Y16" i="5"/>
  <c r="AG16" i="5"/>
  <c r="M20" i="5"/>
  <c r="U20" i="5"/>
  <c r="AC20" i="5"/>
  <c r="Q24" i="5"/>
  <c r="Y24" i="5"/>
  <c r="AG24" i="5"/>
  <c r="J27" i="5"/>
  <c r="R27" i="5"/>
  <c r="Z27" i="5"/>
  <c r="AH27" i="5"/>
  <c r="M28" i="5"/>
  <c r="U28" i="5"/>
  <c r="AC28" i="5"/>
  <c r="O32" i="5"/>
  <c r="Y32" i="5"/>
  <c r="G34" i="5"/>
  <c r="H38" i="5"/>
  <c r="Q5" i="5"/>
  <c r="Y5" i="5"/>
  <c r="J8" i="5"/>
  <c r="R8" i="5"/>
  <c r="Z8" i="5"/>
  <c r="Q13" i="5"/>
  <c r="Y13" i="5"/>
  <c r="J16" i="5"/>
  <c r="R16" i="5"/>
  <c r="Z16" i="5"/>
  <c r="N20" i="5"/>
  <c r="V20" i="5"/>
  <c r="Q21" i="5"/>
  <c r="Y21" i="5"/>
  <c r="J24" i="5"/>
  <c r="R24" i="5"/>
  <c r="Z24" i="5"/>
  <c r="K27" i="5"/>
  <c r="S27" i="5"/>
  <c r="AA27" i="5"/>
  <c r="N28" i="5"/>
  <c r="V28" i="5"/>
  <c r="G31" i="5"/>
  <c r="G32" i="5"/>
  <c r="P32" i="5"/>
  <c r="AA32" i="5"/>
  <c r="H34" i="5"/>
  <c r="AD38" i="5"/>
  <c r="V38" i="5"/>
  <c r="N38" i="5"/>
  <c r="AB38" i="5"/>
  <c r="T38" i="5"/>
  <c r="L38" i="5"/>
  <c r="AF38" i="5"/>
  <c r="X38" i="5"/>
  <c r="P38" i="5"/>
  <c r="I38" i="5"/>
  <c r="U38" i="5"/>
  <c r="AH38" i="5"/>
  <c r="Q33" i="5"/>
  <c r="Y33" i="5"/>
  <c r="AG33" i="5"/>
  <c r="M37" i="5"/>
  <c r="U37" i="5"/>
  <c r="AC37" i="5"/>
  <c r="Q29" i="5"/>
  <c r="Y29" i="5"/>
  <c r="AG29" i="5"/>
  <c r="M33" i="5"/>
  <c r="U33" i="5"/>
  <c r="AC33" i="5"/>
  <c r="Q37" i="5"/>
  <c r="Y37" i="5"/>
  <c r="AG37" i="5"/>
  <c r="K29" i="5"/>
  <c r="S29" i="5"/>
  <c r="AA29" i="5"/>
  <c r="Q31" i="5"/>
  <c r="Y31" i="5"/>
  <c r="O33" i="5"/>
  <c r="W33" i="5"/>
  <c r="K37" i="5"/>
  <c r="S37" i="5"/>
  <c r="AA3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tc={b5b6b18e-d91d-4695-a003-1374fe2113b0}</author>
  </authors>
  <commentList>
    <comment ref="A2" authorId="0" shapeId="0" xr:uid="{B5B6B18E-D91D-4695-A003-1374FE2113B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綠色底為公式，運作方式為：
1. 表單回覆抓非空白欄位 (A:E)
2. 對照姓名，對照出看電影習慣 (F:G)
3. 對照姓名，抓回劇本反饋 (I:AI)
</t>
        </r>
      </text>
    </comment>
  </commentList>
</comments>
</file>

<file path=xl/sharedStrings.xml><?xml version="1.0" encoding="utf-8"?>
<sst xmlns="http://schemas.openxmlformats.org/spreadsheetml/2006/main" count="1310" uniqueCount="663">
  <si>
    <t>姓名</t>
  </si>
  <si>
    <t>性別</t>
  </si>
  <si>
    <t>年齡</t>
  </si>
  <si>
    <t>目前居住縣市</t>
  </si>
  <si>
    <t>工作產業 / 學生請填就讀科系</t>
  </si>
  <si>
    <t>進「電影院」觀影頻率</t>
  </si>
  <si>
    <t>最近進電影院看的電影（數量不限）</t>
  </si>
  <si>
    <t>喜歡的電影類型 （多選）</t>
  </si>
  <si>
    <t>閱讀劇本前，知道下列哪些妖怪傳說？（可複選）</t>
  </si>
  <si>
    <t>閱讀劇本前，是否知道台灣有曾經製作過「核彈」的這段歷史？</t>
  </si>
  <si>
    <t>你認為主角是誰？(單選)</t>
  </si>
  <si>
    <t>你喜歡的角色？ (可複選)</t>
  </si>
  <si>
    <t>承上題，你喜歡這些角色的原因？</t>
  </si>
  <si>
    <t>你最不喜歡的角色？(單選)</t>
  </si>
  <si>
    <t>承上題，你不喜歡這個角色的原因？</t>
  </si>
  <si>
    <t>下列哪個妖怪的超能力對你來說不清楚、看不懂？(可複選)</t>
  </si>
  <si>
    <t>下列哪個妖怪的超能力對你來說，覺得最無聊、最普通？(單選)</t>
  </si>
  <si>
    <t>下列哪個妖怪的超能力對你來說，覺得最喜歡、最酷？(單選)</t>
  </si>
  <si>
    <t>你覺得「局長」的陰謀是什麼？他為什麼要計劃這個陰謀？</t>
  </si>
  <si>
    <t>閱讀劇本後，你最期待被拍攝出來的場面？或是在文字描繪上有讓你產生強烈的畫面感？
請提供頁數/場次或具體情節。</t>
  </si>
  <si>
    <t>你是否有看不懂的情節/橋段？
請說明頁數/場次或具體情節，以及你不理解的部分。</t>
  </si>
  <si>
    <t>劇本哪一段的情節讓你覺得無聊或拖沓？
請說明頁數/場次或具體情節，以及你覺得拖沓的原因。</t>
  </si>
  <si>
    <t>你是否覺得劇本有哪些地方不合理/出戲的地方？
請說明頁數/場次或具體情節，以及你覺得不合理/出戲的地方。</t>
  </si>
  <si>
    <t>你在劇本哪一場次，知道虎哥跟虎姑婆是情侶關係？(單選)</t>
  </si>
  <si>
    <t>你在劇本哪一場次，知道水蛇跟水男孩是母子關係？(單選)</t>
  </si>
  <si>
    <t>你覺得覺得小潔跟虎姑婆在哪一場次開始產生革命情感？(單選)</t>
  </si>
  <si>
    <t>在第113場，看到護理師出現在後山基地時，你是否會覺得不合理？
請回答合理/不合理，並說明原因。</t>
  </si>
  <si>
    <t>閱讀劇本時，你是否有聯想到其他電影? 請舉例說明</t>
  </si>
  <si>
    <t>劇本喜愛程度</t>
  </si>
  <si>
    <t>請用一句話說明，你覺得這個劇本在講述一個什麼故事？</t>
  </si>
  <si>
    <t>閱讀劇本後，你是否會想進電影院觀看本片？</t>
  </si>
  <si>
    <t>你是否願意推薦本片給親朋好友？</t>
  </si>
  <si>
    <t>承上題，你會推薦本片的原因？(可複選)</t>
  </si>
  <si>
    <t>看完劇本後，你會期待這個「變形者宇宙 」的下一部續集或外傳嗎？會期待由哪個角色擔任主角？</t>
  </si>
  <si>
    <t>你是否還有任何想要補充或分享的想法？</t>
  </si>
  <si>
    <t>杜宥霖</t>
  </si>
  <si>
    <t>生理男</t>
  </si>
  <si>
    <t>31-35</t>
  </si>
  <si>
    <t>臺北市</t>
  </si>
  <si>
    <t>研究助理</t>
  </si>
  <si>
    <t>一週一次或以上</t>
  </si>
  <si>
    <t>人骨聖殿</t>
  </si>
  <si>
    <t>超級英雄片（如：Marvel、DC）, 動作片 (如：007、不可能的任務、玩命關頭), 科幻片, 奇幻冒險片（如：哈利波特系列、魔戒）, 動漫片, 喜劇片</t>
  </si>
  <si>
    <t>虎姑婆, 好鼻師, 白賊七, 狐仙</t>
  </si>
  <si>
    <t>是</t>
  </si>
  <si>
    <t>白賊七</t>
  </si>
  <si>
    <t>虎姑婆</t>
  </si>
  <si>
    <t>很強</t>
  </si>
  <si>
    <t>小潔</t>
  </si>
  <si>
    <t>很煩</t>
  </si>
  <si>
    <t>局長：幻術, 小潔：讀心術</t>
  </si>
  <si>
    <t>水蛇、水男孩</t>
  </si>
  <si>
    <t>局長：幻術</t>
  </si>
  <si>
    <t>為了自己的利益</t>
  </si>
  <si>
    <t>69頁</t>
  </si>
  <si>
    <t>30頁</t>
  </si>
  <si>
    <t>120頁</t>
  </si>
  <si>
    <t>50頁</t>
  </si>
  <si>
    <t>序3：虎姑婆說自己懷孕後，白賊七說：「恭喜恭喜！以後不只兩隻老虎了嗎？」</t>
  </si>
  <si>
    <t>場58：小潔告訴虎姑婆三人：「水男孩是我們之中最優秀的，水蛇對他的期望很高，我們也一直以為局長會選他當接班人。」白賊七說：「沒想到是這種望子成龍的心情救了我們」</t>
  </si>
  <si>
    <t>場17：小潔在虎姑婆耳邊偷偷提醒她快逃。</t>
  </si>
  <si>
    <t>合理</t>
  </si>
  <si>
    <t>沒有</t>
  </si>
  <si>
    <t>超能力大戰</t>
  </si>
  <si>
    <t>動作場面, 劇情精彩</t>
  </si>
  <si>
    <t>不會</t>
  </si>
  <si>
    <t>林昭彥</t>
  </si>
  <si>
    <t>41-45</t>
  </si>
  <si>
    <t>桃園市</t>
  </si>
  <si>
    <t>科技業</t>
  </si>
  <si>
    <t>半年一次</t>
  </si>
  <si>
    <t>動物方城市2</t>
  </si>
  <si>
    <t>虎姑婆, 白賊七, 好鼻師</t>
  </si>
  <si>
    <t>滿寫實的</t>
  </si>
  <si>
    <t>鄧小姐</t>
  </si>
  <si>
    <t>角色轉換滿突兀的，感覺是為了劇情轉折硬加進去的。</t>
  </si>
  <si>
    <t>我都理解</t>
  </si>
  <si>
    <t>白賊七：匕首</t>
  </si>
  <si>
    <t>想要永生</t>
  </si>
  <si>
    <t>場39</t>
  </si>
  <si>
    <t>Page 56，一聲高頻 ~ 烏鴉嘴這段</t>
  </si>
  <si>
    <t>無。</t>
  </si>
  <si>
    <t>鄧小姐的角色轉折太硬了，最後核彈殺狐仙也很怪，如果核彈對妖怪有用，何必塞嘴巴。</t>
  </si>
  <si>
    <t>場39：水蛇說：「憑什麼是你，我兒子才是最適合的」</t>
  </si>
  <si>
    <t>不合理，前面寫是密道，護理師竟然知道怎麼進去</t>
  </si>
  <si>
    <t>各種特異功能像 X-Men，劇情有點像不可能的任務一</t>
  </si>
  <si>
    <t>一群有特異功能的妖怪阻止昔日長官為非作歹的故事。</t>
  </si>
  <si>
    <t>動作場面, 特效程度, 妖怪傳說</t>
  </si>
  <si>
    <t>拍得夠精彩的畫會期待，小潔。</t>
  </si>
  <si>
    <t>劇情部分算老套，但搭上很多台灣獨有的傳說與場景，還算有新意。序1的黑幕字卡應該直接刪掉，透過後續劇情一點一滴的揭露，會讓人更好奇而看下去。鄧小姐的部分真的要再修改一下，滿多部分都像是為了串劇情硬生出來的人設。另外針對妖怪的定義，建議是能透過一些橋段的增加，讓定義的更嚴謹一點 (如果你們想拍續集的話)，劇本裡的妖怪更像是有特異功能的人類，但一般對於妖怪的認知應該是有能力幻化成人形的動植物或自然現象，本質上不太一樣。(例如：妖怪能跟人類生小孩? )</t>
  </si>
  <si>
    <t>劉瑋澔</t>
  </si>
  <si>
    <t>36-40</t>
  </si>
  <si>
    <t>網路科技業</t>
  </si>
  <si>
    <t>一個月一次</t>
  </si>
  <si>
    <t>陽光女子合唱團</t>
  </si>
  <si>
    <t>超級英雄片（如：Marvel、DC）, 動作片 (如：007、不可能的任務、玩命關頭), 刑偵片, 科幻片, 奇幻冒險片（如：哈利波特系列、魔戒）, 浪漫愛情片, 動漫片, 喜劇片</t>
  </si>
  <si>
    <t>白賊七, 鄧小姐</t>
  </si>
  <si>
    <t>滿幽默的...</t>
  </si>
  <si>
    <t>水蛇</t>
  </si>
  <si>
    <t>能力有點強，但讓人很感到煩躁，感覺戲份有點太多</t>
  </si>
  <si>
    <t>局長：幻術, 水蛇、水男孩</t>
  </si>
  <si>
    <t>蜥蜴</t>
  </si>
  <si>
    <t>白賊七：詛咒</t>
  </si>
  <si>
    <t>延年益壽；但感覺在中間有些安排會讓這個陰謀有點不明確或是過於薄弱</t>
  </si>
  <si>
    <t>其實多數的打鬥畫面，感覺都滿值得期待的</t>
  </si>
  <si>
    <t>如回信羅列
盲測對象「劉瑋澔」回覆</t>
  </si>
  <si>
    <t>場25：小潔焦急地試圖幫虎姑婆止血，虎姑婆伸手，輕輕覆蓋在小潔的手臂上。</t>
  </si>
  <si>
    <t>如果這裡是個相對隱密荒廢，但過去是機密的地點，稍微有點太隨性了</t>
  </si>
  <si>
    <t>有點類似反派英雄片，但少了一個真的還在當反派的配角或許有點可惜</t>
  </si>
  <si>
    <t>標準反派英雄想要阻止更壞的人的故事</t>
  </si>
  <si>
    <t>動作場面, 劇情精彩, 特效程度, 妖怪傳說</t>
  </si>
  <si>
    <t>會，感覺白賊七可以拍個類似 deadpool 的路線（？）</t>
  </si>
  <si>
    <t>劇情本身滿不錯的，還有些反轉跟幻術的伏筆；但特效可能會是很關鍵的一點</t>
  </si>
  <si>
    <t>林羿豪</t>
  </si>
  <si>
    <t>新北市</t>
  </si>
  <si>
    <t>電商</t>
  </si>
  <si>
    <t>三個月一次</t>
  </si>
  <si>
    <t xml:space="preserve">阿凡達 出神入化3  </t>
  </si>
  <si>
    <t>超級英雄片（如：Marvel、DC）, 動作片 (如：007、不可能的任務、玩命關頭), 刑偵片, 科幻片, 奇幻冒險片（如：哈利波特系列、魔戒）, 動漫片, 喜劇片</t>
  </si>
  <si>
    <t>白賊七, 好鼻師</t>
  </si>
  <si>
    <t>白賊七的設定聰明 而且是劇中相對搞笑輕鬆的人物 好鼻師一心想保護家人 但在大局中也是一個關鍵腳色</t>
  </si>
  <si>
    <t>相對比較平淡 沒有特別的個性</t>
  </si>
  <si>
    <t>讓自己能夠一直活下去並且擁有狐仙的能力 一開始用國外醫術延壽  後來要換一個新的軀體</t>
  </si>
  <si>
    <t>序13</t>
  </si>
  <si>
    <t>不需要一直重播核爆之後玉珮的畫面 雖然可以一直提示觀眾最後玉珮的關鍵作用 但我覺得出現太多次會讓人感覺煩躁</t>
  </si>
  <si>
    <t>目前還可以 基本邏輯都還過得去</t>
  </si>
  <si>
    <t>序6：虎哥將綁著紅繩、色澤溫潤的古代玉佩拿給虎姑婆，並告訴她玉佩是保平安用的護身符</t>
  </si>
  <si>
    <t>場39：虎姑婆問小潔為什麼幫她，小潔說因為虎姑婆不是壞人，她讀到虎姑婆心聲只是想好好活下去。</t>
  </si>
  <si>
    <t>劇本內容並沒有明確指出養老院跟基地的距離 如果原本就鄰近 相對還好 如果超級遠 那就不合理</t>
  </si>
  <si>
    <t xml:space="preserve">X戰警 還沒看到局長要延壽的時候 有閃過局長會不會是X教授的感覺 </t>
  </si>
  <si>
    <t>怪獸們努力融入人類生活甚至成為真正人的故事</t>
  </si>
  <si>
    <t>動作場面, 諜報野史, 妖怪傳說</t>
  </si>
  <si>
    <t>期待  林投姐  或是 手指月亮會被割耳朵的故事創造出來的主角</t>
  </si>
  <si>
    <t>劇本看起來情感戲的部分都還算不拖沓 正式拍攝剪輯的時候希望節奏能抓得快一些  真正的重點還是可以放在動作戲上 刺激感會是這部片的賣點 傳說故事類的東西 節奏慢會讓人把原本合理的地方 也看到變成不合理</t>
  </si>
  <si>
    <t>李艷娟</t>
  </si>
  <si>
    <t>生理女</t>
  </si>
  <si>
    <t>26-30</t>
  </si>
  <si>
    <t>學術研究與教育產業</t>
  </si>
  <si>
    <t>動物方城市2、不可能的任務最終清算</t>
  </si>
  <si>
    <t>超級英雄片（如：Marvel、DC）, 動作片 (如：007、不可能的任務、玩命關頭), 奇幻冒險片（如：哈利波特系列、魔戒）, 浪漫愛情片, 喜劇片</t>
  </si>
  <si>
    <t>虎姑婆, 狐仙</t>
  </si>
  <si>
    <t>虎姑婆, 白賊七</t>
  </si>
  <si>
    <t>虎姑婆在劇本裡給人感覺正直、勇敢；白賊七聰明、詛咒常失敗（或總是只有奇怪的咒語會成功）讓整部劇變得搞笑</t>
  </si>
  <si>
    <t>局長</t>
  </si>
  <si>
    <t>我沒有特別不喜歡哪個角色，如果根據劇情硬選出一位的話，我會選局長。局長在這部劇中是反派，為了不想被犧牲所以和狐仙締約，為了自己的私心害了很多人卻包裝成是為了世界和平</t>
  </si>
  <si>
    <t>局長想培養心智最堅定的人作為接班人，並在儀式中吃掉接班人完成交接。雖然局長說所有的陰謀都是為了防止世界被妖怪毀滅（如果要這麼做的話應該會在核爆後繼續追殺虎姑婆他們？），但我認為局長有一部分是想延續自己的生命、保護自己原有的權力。</t>
  </si>
  <si>
    <t>場75</t>
  </si>
  <si>
    <t xml:space="preserve">1. 場29 不太確定是因為好鼻師透過玉佩看到虎姑婆在ELT的經歷所以馬上相信招喚小孩這件事還是其他原因，覺得馬上聽信平板有問題回家找女兒有點倉促 
2. 場38 看完劇本後，還是有點好奇跟著局長的妖怪們的動機或是成為接班人有什麼好處嗎？ 
3. 場47 好奇選的五個地點有什麼特殊意義嗎 
4. 場72 黃如萱為什麼要一起去開會？ 
5. 場73 為什麼所有人要一起去故宮還帶著欣欣？
</t>
  </si>
  <si>
    <t>無</t>
  </si>
  <si>
    <t xml:space="preserve">1. 場39 虎姑婆心情複雜但看到小潔傷感卻又尷尬，我覺得這裡的情緒好像有點無法銜接 2.場42 好鼻師和小潔並肩坐在沙發，有點不太能想像那個畫面，感覺他們應該沒有很熟不會這麼做？ </t>
  </si>
  <si>
    <t>不太合理，前面虎姑婆去找鄧小姐的時候護理師有提到「您又來了」（場46的最後），所以護理師應該認為鄧小姐時常有幻覺？所以應該會先阻止鄧小姐前往後山基地，而不是相信鄧小姐後跟著去又聽到鄧小姐提到核彈</t>
  </si>
  <si>
    <t>這個劇本利用臺灣妖怪傳說描述了一群妖怪的故事，並在故事中用詼諧有趣與打鬥畫面帶出妖怪也是有情感、能融入人類社會的</t>
  </si>
  <si>
    <t>動作場面, 情感真摯, 特效程度</t>
  </si>
  <si>
    <t>會期待外傳（例如妖怪們遇見局長前的故事），對於主角沒有什麼特別的想法</t>
  </si>
  <si>
    <t>吳香穎</t>
  </si>
  <si>
    <t>顧問業</t>
  </si>
  <si>
    <t>大濛、國寶、換乘真愛、東京計程車、Marty Supreme</t>
  </si>
  <si>
    <t>超級英雄片（如：Marvel、DC）, 動作片 (如：007、不可能的任務、玩命關頭), 科幻片, 奇幻冒險片（如：哈利波特系列、魔戒）, 浪漫愛情片, 文藝劇情片, 喜劇片</t>
  </si>
  <si>
    <t>否</t>
  </si>
  <si>
    <t>虎姑婆, 小潔</t>
  </si>
  <si>
    <t>個性正直磊落</t>
  </si>
  <si>
    <t>從文字看起來感覺很恐怖（有點像怪獸電力公司的反派</t>
  </si>
  <si>
    <t>白賊七：匕首, 蜥蜴</t>
  </si>
  <si>
    <t>好鼻師：操控螞蟻</t>
  </si>
  <si>
    <t>為了自己活命，將他的靈魂延續下去，找下一個軀殼（類似佛地魔？）</t>
  </si>
  <si>
    <t>場六，p.19，虎姑婆與小潔互相接觸後啟動小潔的能力</t>
  </si>
  <si>
    <t>不理解整個故事核武的必要性</t>
  </si>
  <si>
    <t>場77-80，好鼻師帶著妻小離開，很明顯會再被抓走，</t>
  </si>
  <si>
    <t>沒有說明為何需要利用狐仙，以及狐仙消氣的也太快了吧～狐仙算是仙還是妖？以及為什麼所有妖怪都怕局長？可以把妖怪之王打倒的究竟是什麼？</t>
  </si>
  <si>
    <t>序13：蜥蜴要引爆核彈之際，虎哥按住虎姑婆的肩膀，要她好好活下去後，毅然決然地犧牲自己。</t>
  </si>
  <si>
    <t>場21：虎姑婆帶著小潔破窗逃生後，護住小潔自己先著地，導致傷口再度滲血。</t>
  </si>
  <si>
    <t>不合理，鄧小姐有被下暗示所以不疑有他，但護理師怎麼會敢來這種地方</t>
  </si>
  <si>
    <t>功夫熊貓～很多動物一起奮戰的感覺！</t>
  </si>
  <si>
    <t>以妖怪傳說來講邪不勝正、人人平等（動物也是）</t>
  </si>
  <si>
    <t>特效程度, 妖怪傳說</t>
  </si>
  <si>
    <t>會，蜥蜴（感覺他的視角會很有趣）</t>
  </si>
  <si>
    <t>期待動畫成品</t>
  </si>
  <si>
    <t>阮奕安</t>
  </si>
  <si>
    <t>換乘真愛, F1, 超人, 魔法壞女巫, 少年Pi的奇幻漂流(舞台劇的電影版)</t>
  </si>
  <si>
    <t>三人都有明顯的個人魅力與能力 雖然是妖怪卻有人情味</t>
  </si>
  <si>
    <t>最大的反派角色 自私</t>
  </si>
  <si>
    <t>犧牲小傑和小孩們 為了延續自己壽命</t>
  </si>
  <si>
    <t>場39 打鬥畫面
場75 動作戲
場79 監視器都變成局長雙眼</t>
  </si>
  <si>
    <t>沒有特別印象</t>
  </si>
  <si>
    <t>場47 白賊七說 只要得到Ａ 就能得到B的句型 這句話相對出戲</t>
  </si>
  <si>
    <t>不合理 後山基地錯綜複雜 護理師不該能順利出現在大家面前</t>
  </si>
  <si>
    <t>通靈少女 復仇者聯盟 和控制(遊戲)
超能力偏向一般人 不算是非常浮誇 拯救的事件 也不像是復仇者類型 毀天滅地 更像是接近民間</t>
  </si>
  <si>
    <t>台灣民俗妖怪拯救災難發生</t>
  </si>
  <si>
    <t>動作場面, 情感真摯, 妖怪傳說</t>
  </si>
  <si>
    <t>會期待 下一次由小潔擔任主角或更多表現機會</t>
  </si>
  <si>
    <t>題材滿有趣 很久沒看到台灣民俗妖怪為主角的電影 以及跟政府機密有關的內容 滿期待！</t>
  </si>
  <si>
    <t>謝佩珊</t>
  </si>
  <si>
    <t>數位行銷</t>
  </si>
  <si>
    <t>雙囍/動物方程式/他年她日/</t>
  </si>
  <si>
    <t>超級英雄片（如：Marvel、DC）, 動作片 (如：007、不可能的任務、玩命關頭), 奇幻冒險片（如：哈利波特系列、魔戒）</t>
  </si>
  <si>
    <t>虎姑婆, 白賊七, 狐仙</t>
  </si>
  <si>
    <t>很帥氣、烏鴉嘴設定有趣</t>
  </si>
  <si>
    <t>設定滿單薄的</t>
  </si>
  <si>
    <t>好鼻師：氣味偵查, 小潔：讀心術, 蜥蜴</t>
  </si>
  <si>
    <t>不太懂前面佈置要殺妖怪的陰謀是什麼設定，跟最後需要找小潔、很多小孩的連結是什麼
但是有看懂原因是為了替換身體、讓狐仙長駐與局長一起</t>
  </si>
  <si>
    <t>1.閃回局長以前回憶，古代畫面。2. 故宮文物那段，感覺拍起來很有趣</t>
  </si>
  <si>
    <t>水男孩的能力初期有點看不懂，而且會不懂他跟水蛇的關係（可能也是水男孩的命名有點不懂）</t>
  </si>
  <si>
    <t xml:space="preserve">1. 開頭回到現在時序，好鼻師在問虎姑婆還好嗎？虎姑婆不需要把過去爆炸發生的事件都講一遍，太解釋性了
2. 蒙太奇手法重現在隧道生活的片段，感覺很老套，而且這段時間這麼短應該也不用重現片段
</t>
  </si>
  <si>
    <t>最後狐仙被虎姑婆一個眼神還有回憶就影響，然後掙脫離開了。有點太輕描淡寫解決問題</t>
  </si>
  <si>
    <t>超不合理</t>
  </si>
  <si>
    <t>妖怪隊伍、破散又重組，一起解決危機</t>
  </si>
  <si>
    <t>劇情精彩, 情感真摯</t>
  </si>
  <si>
    <t>小潔的角色也覺得有點單薄、讀心能力不是關鍵，好像有跟沒有差不多</t>
  </si>
  <si>
    <t>許若莉</t>
  </si>
  <si>
    <t>餐飲業</t>
  </si>
  <si>
    <t>大濛、陽光女子合唱團</t>
  </si>
  <si>
    <t>超級英雄片（如：Marvel、DC）, 動作片 (如：007、不可能的任務、玩命關頭), 奇幻冒險片（如：哈利波特系列、魔戒）, 浪漫愛情片, 恐怖片</t>
  </si>
  <si>
    <t>白賊七, 小潔</t>
  </si>
  <si>
    <t>雖然不知道白賊七的故事，但詛咒能力很吸引人，他有能力可以傷害人，但他沒有，抽筋10分鐘滿有畫面的。小潔雖然被訓練洗腦很多年，但卻依然有著善良的心，像是被社會摧殘後，還能保有一顆溫暖的心，在現實生活中我們也期許自己是這樣的人吧～</t>
  </si>
  <si>
    <t>不是不喜歡，覺得虎姑婆的角色可以多一些背景故事，去闡述他的情感世界，目前看下來只覺得他就是生理女的直男。</t>
  </si>
  <si>
    <t>要讓自己獲得永生</t>
  </si>
  <si>
    <t>覺得期待好鼻師和白賊七啟動能力的情節被拍出來</t>
  </si>
  <si>
    <t>護理師出現在備用機地，雖然有點好笑，但就覺得這基地也不是很隱密嘛～</t>
  </si>
  <si>
    <t>場70：小潔告訴虎姑婆，被ELT帶走的育幼院孩子們之間有一個約定，最後活下來的人要代替所有人好好活下去，之後小潔將玉佩還給虎姑婆。</t>
  </si>
  <si>
    <t>不合理</t>
  </si>
  <si>
    <t>有點像韓劇的十二使者(講十二生肖的)，都是傳說故事中的人物，真實的活在現實生活中</t>
  </si>
  <si>
    <t>人性的貪婪 讓我們總是想控制一切</t>
  </si>
  <si>
    <t>妖怪傳說</t>
  </si>
  <si>
    <t>會，白賊七</t>
  </si>
  <si>
    <t>林哲毅</t>
  </si>
  <si>
    <t>醫療業</t>
  </si>
  <si>
    <t>全知讀者視角</t>
  </si>
  <si>
    <t>超級英雄片（如：Marvel、DC）, 動作片 (如：007、不可能的任務、玩命關頭), 科幻片, 奇幻冒險片（如：哈利波特系列、魔戒）, 動漫片</t>
  </si>
  <si>
    <t>好鼻師</t>
  </si>
  <si>
    <t>劇本中跟人類緊密感與親切感最明顯自然的角色</t>
  </si>
  <si>
    <t>對於水蛇希望孩子成為局長接班人的動機不明</t>
  </si>
  <si>
    <t>好鼻師：操控螞蟻, 白賊七：匕首</t>
  </si>
  <si>
    <t>想自己成為千古不死的妖帝</t>
  </si>
  <si>
    <t>場4 欣欣拿蛋糕給虎姑婆</t>
  </si>
  <si>
    <t>都還算可理解</t>
  </si>
  <si>
    <t>都還好</t>
  </si>
  <si>
    <t>場137 何朵用獸妖的互相理解就感化狐仙有點太輕而易舉了</t>
  </si>
  <si>
    <t>不合理 但是幽默感爆棚 感覺有種鄧小姐溜多遠 護理師就跟多遠的使命感</t>
  </si>
  <si>
    <t>幾乎漫威的所有電影 或是以惡棍為主的自殺突擊隊
去故宮搶草堂筆記 想到尼可拉斯凱吉的國家寶藏搶獨立宣言</t>
  </si>
  <si>
    <t>妖怪也想透過努力 跟自己認可的對象 過自己喜歡的生活</t>
  </si>
  <si>
    <t>情感真摯</t>
  </si>
  <si>
    <t>給虎姑婆一個完整的故事跟戀愛曲線吧 也許能解釋連狐仙都認可他的釋懷</t>
  </si>
  <si>
    <t>場3好鼻師家廚房 想試試看如果虎姑婆是直接用利爪刺一塊肉吃 但是欣欣幫大家切蛋糕的時候遞給虎姑婆的盤子上，有放我們常用的塑膠叉子 
雖然虎姑婆不覺得自己能以妖怪之身與人類孩子相處 但是在欣欣眼裡 也許她一直都是個帥氣的大姊姊</t>
  </si>
  <si>
    <t>許偉康</t>
  </si>
  <si>
    <t>工程師</t>
  </si>
  <si>
    <t>陽光女子合唱團、阿凡達三</t>
  </si>
  <si>
    <t>比較精明</t>
  </si>
  <si>
    <t>看起來比較狡詐</t>
  </si>
  <si>
    <t>長生不老</t>
  </si>
  <si>
    <t>場66後山基地廊道</t>
  </si>
  <si>
    <t>很少看長劇本，看得有點疲乏</t>
  </si>
  <si>
    <t>場23：虎姑婆的夢境中，看到虎哥溫柔照顧自己，但下一瞬間，她卻驚恐發現自己流產了</t>
  </si>
  <si>
    <t>是，沒交代清楚鄧小姐跟護理師的突然出現</t>
  </si>
  <si>
    <t>劇情普通，感覺有類似的，但一時說不出來，只是時空背景換到東方台灣</t>
  </si>
  <si>
    <t>妖怪在你我身邊的故事</t>
  </si>
  <si>
    <t>不推薦</t>
  </si>
  <si>
    <t>不要有續集了吧</t>
  </si>
  <si>
    <t>謝麗菁</t>
  </si>
  <si>
    <t>自由接案（娛樂唱片）</t>
  </si>
  <si>
    <t>女孩</t>
  </si>
  <si>
    <t>超級英雄片（如：Marvel、DC）, 動作片 (如：007、不可能的任務、玩命關頭), 刑偵片, 奇幻冒險片（如：哈利波特系列、魔戒）, 浪漫愛情片, 文藝劇情片, 動漫片, 喜劇片</t>
  </si>
  <si>
    <t>勇敢</t>
  </si>
  <si>
    <t>自私</t>
  </si>
  <si>
    <t>小潔：讀心術</t>
  </si>
  <si>
    <t>想永生</t>
  </si>
  <si>
    <t>劇本目前看來都蠻拖沓的，會有點看不下去，一直中斷。</t>
  </si>
  <si>
    <t>鄧小姐後面變情報員出現的部分。有點莫名。
還有進故宮搶真跡，現在很多網路或故宮商店應該都有複製品，最後還損壞真跡。</t>
  </si>
  <si>
    <t>場38：虎姑婆在好鼻師暴怒詢問小潔，以及水蛇出現要劫走小潔時，擋在小潔身前保護她。</t>
  </si>
  <si>
    <t>不合理，護理師也能找到？局長找不到？</t>
  </si>
  <si>
    <t>自私人類藉由職務之便利用妖怪能力方便自己成事。</t>
  </si>
  <si>
    <t>看看這個劇本畫面如何呈現。</t>
  </si>
  <si>
    <t>無，目前看起來故事有點薄弱，想不到還能續集。</t>
  </si>
  <si>
    <t>沒有，謝謝</t>
  </si>
  <si>
    <t>原詩涵</t>
  </si>
  <si>
    <t>線上課程、數位內容產業</t>
  </si>
  <si>
    <t>大濛</t>
  </si>
  <si>
    <t>科幻片, 文藝劇情片, 恐怖片</t>
  </si>
  <si>
    <t>兩位角色刻畫立體，虎姑婆的女力與白賊七的智囊人設符合喜好</t>
  </si>
  <si>
    <t>遇事躊躇，笨笨的爛好人</t>
  </si>
  <si>
    <t>繼續控制狐仙力量</t>
  </si>
  <si>
    <t>103 104 蜥蜴跟白賊七打鬥過程</t>
  </si>
  <si>
    <t>鄧小姐的部分覺得刪去對劇情不太影響</t>
  </si>
  <si>
    <t>跟核彈事件、國軍等等的連結度有點低，同時要說到台灣歷史又要說到台灣妖怪，有一點兩邊都無法留下深刻印象的感覺</t>
  </si>
  <si>
    <t>不合理但覺得是為了做一個笑點</t>
  </si>
  <si>
    <t>沒有想到電影，但想到台灣漫畫「引路人」</t>
  </si>
  <si>
    <t>台灣本土歷史與妖怪</t>
  </si>
  <si>
    <t>妖怪傳說, 蠻適合小朋友，會推薦給有小孩的朋友</t>
  </si>
  <si>
    <t>還好，但會比較期待白賊七</t>
  </si>
  <si>
    <t>謝謝邀請</t>
  </si>
  <si>
    <t>王羿涵</t>
  </si>
  <si>
    <t>法律服務業</t>
  </si>
  <si>
    <t>動物方城市2、鬼滅無限城</t>
  </si>
  <si>
    <t>超級英雄片（如：Marvel、DC）, 刑偵片, 奇幻冒險片（如：哈利波特系列、魔戒）, 恐怖片, 動漫片</t>
  </si>
  <si>
    <t>聰明、身上有可發展的謎團</t>
  </si>
  <si>
    <t>角色能力不強+嚴格來說不是神話人物</t>
  </si>
  <si>
    <t>永生</t>
  </si>
  <si>
    <t>都有畫面感，但不知道為什麼一直有復仇者聯盟、美國隊長2的即視感</t>
  </si>
  <si>
    <t>98，應該要交代黃如萱的身分背景，如果只是一般人類的話，很難想像他有辦法在「大戰過程」中幫上忙（感覺情緒太穩定了）
108，水蛇媽媽的動機/背景看不太懂，他為什麼這麼執著要成為接班人？如果單純是因為想要權力，可以再多一點鋪陳</t>
  </si>
  <si>
    <t>還好</t>
  </si>
  <si>
    <t>美國隊長2、復仇者聯盟、哈利波特</t>
  </si>
  <si>
    <t>拯救世界</t>
  </si>
  <si>
    <t>支持國片</t>
  </si>
  <si>
    <t>小潔或其他孤兒</t>
  </si>
  <si>
    <t>小潔的能力「讀心術」可以換成「他心通」，對應佛教的六神通之一。我個人覺得用台灣的妖怪沒有問題，但台灣神話人物沒那麼多、基底薄弱，如果要發展成宇宙，勢必要本身就有龐大體系（諸如DC Marvel背後都是半世紀漫畫的累積 台灣沒有這種漫畫 但好在有宗教底蘊），建議可以借助佛教、道教系統的人物，諸如六神通、四大天王、四神官之類的，封神榜也可以借鑑
因為劇本整體看完覺得只是借用幾個出名的人物而已，像是單一集的作品，沒有人物有「謎團」或者讓人想探究的好奇感、「這個宇宙觀好像很大？」的感覺</t>
  </si>
  <si>
    <t>林冠邦</t>
  </si>
  <si>
    <t>國際貿易+餐廚用品設計製造業 / 國際企業系+機械系</t>
  </si>
  <si>
    <t>雙囍</t>
  </si>
  <si>
    <t>超級英雄片（如：Marvel、DC）, 動作片 (如：007、不可能的任務、玩命關頭), 刑偵片, 科幻片, 浪漫愛情片, 文藝劇情片, 動漫片, 喜劇片</t>
  </si>
  <si>
    <t>虎姑婆, 好鼻師</t>
  </si>
  <si>
    <t>虎姑婆, 白賊七, 好鼻師, 小潔</t>
  </si>
  <si>
    <t>虎姑婆 : 對他的刻畫最多, 女性角色但乘載著最大的力量 ; 白賊七 : 聰明, 且默默守護著太太40年 ; 好鼻師 : 溫柔的爸爸, 也是溫柔的先生, 各種能力的展現都很有畫面感蠻帥的 ; 小潔 : 有點像怪奇物語裡的 Eleven, 擁有強大的力量但是內心是最善良的</t>
  </si>
  <si>
    <t>人設太複雜, 有些混亂</t>
  </si>
  <si>
    <t>盲測對象「阿邦」回覆</t>
  </si>
  <si>
    <t xml:space="preserve">我對好鼻師將螞蟻化為盔甲, 硬化可擋下他人攻擊的兵器覺得很棒, 很喜歡. 他的戰鬥場面我都會想看.  </t>
  </si>
  <si>
    <t>https://docs.google.com/document/d/1quiLSRzF1POfIy8lg6DAbXBOJyo19HT7GBhHmk_NKd0/edit?usp=drive_link</t>
  </si>
  <si>
    <t>沒有覺得拖沓的情節. 
但我覺得「去過你想要的生活, 不要再回來」這個結局... 對我來說覺得太草率了 T_T</t>
  </si>
  <si>
    <t>請見上面關於 局長 跟 人物 我的回答 T_T</t>
  </si>
  <si>
    <t>場56：小潔說：「只要你帶我回去，你兒子就永遠只是接班人的備用品」，水蛇對小潔和虎姑婆說：「我不會讓我兒子的努力白費的」</t>
  </si>
  <si>
    <t>不會覺得不合理. 我腦子裡的畫面是一個幽默的搞笑橋段~</t>
  </si>
  <si>
    <t>正派妖怪都沒有很強, 聯合打另一邊讓我聯想到《異能5：死了一個超人以後》
看到小潔的時候, 我想到的是《怪奇物語》</t>
  </si>
  <si>
    <t>一個老頭忘記自己初衷, 喪盡天良想要延續生命, 然後被一群正義的妖怪阻止的故事</t>
  </si>
  <si>
    <t>因為我知道這部片會是很棒的主創團隊做出來的, 到最後一定會有精彩的劇情、好看的動作場面、真摯的演員情感</t>
  </si>
  <si>
    <t>小潔, 或虎姑婆/虎哥在冷戰~1988年間的故事, 或鄧麗君</t>
  </si>
  <si>
    <t>我自己覺得我在回覆中提出了一堆挑戰, 但對疑問或挑戰沒有提出任何建設性的解決方案...是一件蠻糟糕的事 T_T 
請理解我是以「想要這部片超級好看賣超好」的出發點給出回覆的, 但也請原諒我, 我目前沒有足夠的專業能力能提出有建設性的意見. 
如果我自己是創作者或製片方的方, 我看到這樣的反饋心情一定會不好T_T 但我相信你們都比我心裡強大跟成熟很多, 所以你們應該會想聽我最誠實的感想. 
然後我很期待這部片, 我期待這部片能夠替台灣創造出一系列獨特的 IP, 不只在台灣大賣, 更可以走向世界 !! GO!! GO!! 加油加油~~</t>
  </si>
  <si>
    <t>徐仁恩</t>
  </si>
  <si>
    <t>營造業</t>
  </si>
  <si>
    <t>魔法壞女巫：第二部</t>
  </si>
  <si>
    <t>能力感覺很有用</t>
  </si>
  <si>
    <t>背骨仔必須死</t>
  </si>
  <si>
    <t>毀了妖怪局跟核彈計畫是為了換取醫療技術，尋找接班人是為了轉生(?)，只是不懂既然可以轉生為什麼不一開始就利用轉生的方法，是因為找不到適合的接班人嗎?</t>
  </si>
  <si>
    <t>場114開始到場136，大混戰看起來會蠻熱血的</t>
  </si>
  <si>
    <t>場15，虎姑婆把男子脖子上的識別證拿走的時候，男子明明有摸脖子卻沒有發現掛繩被切斷拿走</t>
  </si>
  <si>
    <t>1)場19，不太懂核武計畫跟妖怪局的關係，政府是想要妖怪局暗地裡主導核武計畫還是要妖怪局像jason bourne那樣暗殺對政府有害的人?
2)出現的妖怪種類好少，是都被殺掉了?如果是都躲起來了，那妖怪局感覺有點弱，劇情有辦法稍微帶過讓我們了解一下嗎?
3)開頭序章的講法，妖怪們似乎都會為非作歹對人類有害，所以要提防他們，但主角群看起來蠻正派的
4)以為狐仙出世會大殺四方，結果跟虎姑婆對看一眼就閃人，感覺不符合妖中之王的人設，如果設狐仙本來本性不壞，是局長家族要幹大事，所以設局讓人認為狐仙要毀滅世界來順理成章封印狐仙就說得過去，但又會變成局長家族最後也沒幹什麼大事就被歷史遺忘了</t>
  </si>
  <si>
    <t>不太合理，鄧婆婆曾經是情報人員還可以理解，但是護理師怎麼追到戰情室的?如果戰情室是主角群常常聚集的地方，還可以因為護理師知道鄧婆婆開溜會跑去主角群的據點自行腦補，但是看起來戰情室不是他們平常的據點</t>
  </si>
  <si>
    <t>蟻人，畢竟都能操控螞蟻，只是操控方法不同
雖然不是電影但是會聯想到咒術迴戰，裡面有個腳色"狗卷棘"跟白賊七能力有點像</t>
  </si>
  <si>
    <t>台灣版的復仇者聯盟</t>
  </si>
  <si>
    <t>不知道實際拍起來如何，要看過後才能決定要不要推薦朋友看</t>
  </si>
  <si>
    <t>只看劇本的話不會期待</t>
  </si>
  <si>
    <t>序章說狐仙有能力帶領妖怪毀滅世界，但整體看起來像是小打小鬧，沒有開頭那種大格局的感覺</t>
  </si>
  <si>
    <t>莊字東</t>
  </si>
  <si>
    <t>21-25</t>
  </si>
  <si>
    <t>哲學系</t>
  </si>
  <si>
    <t>眼鏡蛇與真心</t>
  </si>
  <si>
    <t>超級英雄片（如：Marvel、DC）, 動作片 (如：007、不可能的任務、玩命關頭), 刑偵片, 科幻片, 奇幻冒險片（如：哈利波特系列、魔戒）, 浪漫愛情片, 文藝劇情片, 恐怖片, 動漫片, 喜劇片</t>
  </si>
  <si>
    <t>虎姑婆, 好鼻師, 狐仙</t>
  </si>
  <si>
    <t>聰明</t>
  </si>
  <si>
    <t>黃茹萱</t>
  </si>
  <si>
    <t>一直鬧脾氣</t>
  </si>
  <si>
    <t>小潔：讀心術, 我都理解</t>
  </si>
  <si>
    <t>延長壽命</t>
  </si>
  <si>
    <t>還好，對國片能否製作變身的順暢動畫抱持懷疑</t>
  </si>
  <si>
    <t>還好，但情節可預測的部分太多了，對話設計偶爾別有趣味，像詛咒一語成讖的部分就滿有趣的</t>
  </si>
  <si>
    <t>核彈，正常人都能推理出會污染，怎麼可能這時候才想到</t>
  </si>
  <si>
    <t>不合理，如果有失智傾向應該要限制出入</t>
  </si>
  <si>
    <t>民間故事人物結合台灣史地</t>
  </si>
  <si>
    <t>諜報野史, 妖怪傳說</t>
  </si>
  <si>
    <t>構想有趣，對話淺白，設計偶見新意，作為商業片應該很不錯的，順暢的動畫連結跟鏡頭會是關鍵</t>
  </si>
  <si>
    <t>李守治</t>
  </si>
  <si>
    <t>集資／線上課程</t>
  </si>
  <si>
    <t>家弒服務、那張照片裡的我們、大濛、國寶</t>
  </si>
  <si>
    <t>超級英雄片（如：Marvel、DC）, 動作片 (如：007、不可能的任務、玩命關頭), 刑偵片, 科幻片, 奇幻冒險片（如：哈利波特系列、魔戒）, 動漫片</t>
  </si>
  <si>
    <t>虎姑婆, 好鼻師, 白賊七</t>
  </si>
  <si>
    <t>個人目標清楚一致，曾經有過血祭的過往故事覺得設定很吸引人</t>
  </si>
  <si>
    <t>任務剛有進展，卻回去找太太跟女兒要離開隊伍，覺得有點突兀</t>
  </si>
  <si>
    <t>白賊七：詛咒, 小潔：讀心術</t>
  </si>
  <si>
    <t>把封印石放入小潔（精神最堅毅的人）體內／為了延續自己的生命（現在的身體已性命垂危）</t>
  </si>
  <si>
    <t>p.1~p.2 結合復古音樂（何日君再來）、角色（鄧小姐）、諜報任務（秘密放螞蟻）、事後揭露（鄧小姐非本人）剛好都是自己很喜歡的設定，覺得很新鮮</t>
  </si>
  <si>
    <t>局長幻術解除的設定，前面是聞到熟悉的味道後解除，但虎姑婆最後大決戰解除那邊覺得有點不清楚為什麼，感覺就只是回憶結束了，但沒有在現實世界有特別觸發解除條件的事發生，覺得和前面的設定有點不是一致的，也有在想是玉佩發揮作用嗎？</t>
  </si>
  <si>
    <t>鄧小姐指出有還有一枚核彈的段落，又帶錯鑰匙回家，在最後決戰時又打電話來，整段覺得有點冗長，尤其最後核彈沒有用到（會毀掉半個臺北的顧慮感覺在鄧小姐告知有核彈時就能想到）就結束了，覺得這個元素有點可惜</t>
  </si>
  <si>
    <t>P.93 好鼻師在知道儀式細節後，選擇退出任務，覺得有點突然，尤其是剛在任務已經有大幅推進，取得資料也知道局長的陰謀後；可以理解會擔心妻子和小孩，但就這麼毅然決然離開，沒有為任務有一些折衷，覺得有點出戲</t>
  </si>
  <si>
    <t>有點不合理，感覺從本來的地方一路到後山基地是一段不短的路程，護理師就一路放著鄧小姐走那麼久都無法抓住（？一路跑到基地那邊
一剛開始讀到護理師現身時有驚訝</t>
  </si>
  <si>
    <t>漫威系列（有英雄成對集結、各自使用能力）</t>
  </si>
  <si>
    <t>一個富有台灣在地故事和歷史元素的超級英雄任務</t>
  </si>
  <si>
    <t>加油！是第一次參與劇本盲測，覺得整個過程很仔細謹慎清楚，希望整個製作過程可以很順利！</t>
  </si>
  <si>
    <t>吳幼雯</t>
  </si>
  <si>
    <t>46-50</t>
  </si>
  <si>
    <t>手工藝工作室</t>
  </si>
  <si>
    <t>重返沉默之丘</t>
  </si>
  <si>
    <t>動作片 (如：007、不可能的任務、玩命關頭), 奇幻冒險片（如：哈利波特系列、魔戒）, 恐怖片, 動漫片, 紀錄片</t>
  </si>
  <si>
    <t>好鼻師, 小潔</t>
  </si>
  <si>
    <t>單純善良，鮮明的細膩人心</t>
  </si>
  <si>
    <t>執念太深，扭曲的母性</t>
  </si>
  <si>
    <t>權力、控制</t>
  </si>
  <si>
    <t>水蛇和水男孩的打鬥特效場面，也期待虎姑婆幻化轉變的過程，以及最後狐仙出場的場景，都非常期待將會是怎樣的畫面</t>
  </si>
  <si>
    <t>沒有不理解的部分</t>
  </si>
  <si>
    <t>文字相對於影像，當然需要很多想像力，往往文字長篇，換成畫面時可能只是幾秒就能懂了，所以感覺不應該現在對文字輕易評斷，我相信每個環節都是必要的</t>
  </si>
  <si>
    <t>水男孩想成為接班人的這個心思，似乎稍微突兀了些，但或許是受到水蛇的觀念灌輸吧，通常孩子不是應該還保有純真？水男孩似乎沒有，也可能正是本性。相較之下水蛇還比較有情一點呢…</t>
  </si>
  <si>
    <t>場5：虎姑婆取出蛋糕放在虎哥的照片前，幫他慶生。</t>
  </si>
  <si>
    <t>一開始確實覺得奇怪，根本像是她帶鄧奶奶過來似的，看到後面覺得這個護理師真正的身份，當然不是護理師吧…</t>
  </si>
  <si>
    <t>看到文字版裡角色們的各種能力，會聯想到X-men</t>
  </si>
  <si>
    <t>埋藏在民間故事與傳說背後的真實意圖，以及惡意</t>
  </si>
  <si>
    <t>不推薦是因為還沒看過，如果親自看過覺得精彩，當然一定會推薦，而不是現在。</t>
  </si>
  <si>
    <t>不會，太多續集與外傳一直都是個很討厭的現象</t>
  </si>
  <si>
    <t>會期待這個劇本拍出來會是什麼樣的呈現？也非常希望台灣電影能一直進步，帶來驚喜</t>
  </si>
  <si>
    <t>許若亮</t>
  </si>
  <si>
    <t>金融業</t>
  </si>
  <si>
    <t>陽光女子合唱團/大濛</t>
  </si>
  <si>
    <t>超級英雄片（如：Marvel、DC）, 動作片 (如：007、不可能的任務、玩命關頭), 奇幻冒險片（如：哈利波特系列、魔戒）, 浪漫愛情片, 文藝劇情片, 恐怖片, 動漫片, 喜劇片</t>
  </si>
  <si>
    <t>都不知道</t>
  </si>
  <si>
    <t>白賊七，即使為了找出真相，身處暗處多年，仍掛心妻子，是個浪漫的人呢。
好鼻師，即使身為妖怪，試著融入人類世界後為了安定生活不願重蹈覆轍，但當生活重心的妻子女兒可能遭遇不測，還是願意挺身而出與大家並肩作戰。
小潔，在知道局長的惡意後，仍心存善意提醒眾人與其並肩作戰，育幼院的成長背景，也許讓她無法從其他地方獲取溫暖，手邊唯一的玉珮是對她有過善意的育幼院院長給的，但在事發後，仍將玉珮物歸原主，即使物品已不握在手中，也許是得到比失去的更多的意義，讓她知道，這個世界仍溫暖的讓她想好好活著。
虎姑婆，當再次看見虎哥贈與的玉珮以及查出真相的過程中，在每次的抉擇，她的勇敢堅韌，及放手讓好鼻師家庭、狐仙離開的溫柔，無一不是最令人敬佩的心理。</t>
  </si>
  <si>
    <t>所作的一切都只是為了自身利益，自私的思想導致過程中乘載了許多人的痛苦。</t>
  </si>
  <si>
    <t>原以為可以透過獲取西方醫療技術達到延續壽命，但人類生命有限，在後來透過幻術布局訓練小孩成為祭品，達到自己長生不老的效果</t>
  </si>
  <si>
    <t>場70，小潔提及了她在育幼院成長的故事，將玉珮還給虎姑婆說她體會到了活著的感覺</t>
  </si>
  <si>
    <t>蜥蜴成為內鬼的原因，感覺沒有誘因</t>
  </si>
  <si>
    <t>場113，雖然前面已知鄧小姐為情報出身退役，但突然探班的鄧小姐出場會讓人不知道她到底是可以提供協助的還是只是來亂的，比如人來了但帶錯保險箱鑰匙、場118，正在決鬥之時，鄧小姐打電話說帶來了核彈(雖然都蠻好笑的)</t>
  </si>
  <si>
    <t>場43：小潔跟虎姑婆、好鼻師、白賊七三人揭露自己被ELT囚禁、被迫接受訓練的過往，以及她害怕被永遠被困在ELT的恐懼。虎姑婆堅定地告訴小潔，她不會讓小潔被抓回去。</t>
  </si>
  <si>
    <t>不合理，後山基地位置遙遠雖考量鄧小姐已為長者，但以她職業專業經驗應該不會讓她無法抵達基地，甚至當初見面還可以飛撲虎姑婆...
後來理解鄧小姐是待在養老院的人設，但故事中不斷穿插協助辦案的專業以及偶爾有些需陪護的長者狀態，不清楚鄧小姐是否是一個可提供支援的角色</t>
  </si>
  <si>
    <t>看到好鼻師角色會想到蟻人電影</t>
  </si>
  <si>
    <t>一段揉合台灣民間故事的奇幻旅程，看見人性的光與暗，在善惡交織中走向溫暖而美滿的結局。</t>
  </si>
  <si>
    <t>情感真摯, 妖怪傳說</t>
  </si>
  <si>
    <t>會，想看虎姑婆與小潔</t>
  </si>
  <si>
    <t>很高興可以參與這次盲測劇本計畫，也是我人生中很棒的體驗!預祝一切順利!</t>
  </si>
  <si>
    <t>廖元維</t>
  </si>
  <si>
    <t>資訊工程系</t>
  </si>
  <si>
    <t>藤本樹17～21</t>
  </si>
  <si>
    <t>我覺得他這個人感覺很隨和，而且他的能力（詛咒，讓講出來的事成真）感覺很有趣，有點像咒術迴戰裡面的狗卷</t>
  </si>
  <si>
    <t>其實我沒有特別不喜歡的角色，我選那是因為我覺得這個角色感覺沒有甚麼記憶點，我現在記得的可能就是他是局長蠻強的一個手下，但戲份感覺又比水蛇少很多</t>
  </si>
  <si>
    <t>我覺得局長應該是想要一個新的"容器"，我最後有點沒有看懂局長跟狐仙的關係，但我覺得應該是人體會隨著時間衰老，但是妖怪不會，所以局長就要定期找一個新的容器壓制住狐仙，並且局長的意識也可以轉移到新的容器上並使用該容器的能力。
所以我猜局長的最終目的應該是要透過不斷換容器達到長生不老</t>
  </si>
  <si>
    <t>我覺得這部劇感覺很多特殊能力要呈現，而且還是搭配很多台灣街景，讓我很期待真實拍攝出來會是什麼樣，但也有點擔心會不會很突兀。</t>
  </si>
  <si>
    <t>場135，（局長回憶）
這邊感覺是一個很重要可以讓觀眾了解局長的陰謀或是他做事的動機的部分，但我只看文字有點不了解局長跟狐仙的關係。
這段可能會讓我有這些疑問：
1.所以局長跟狐仙是融合了嗎？
2.所以現在 "局長" 的意識是狐仙的還是局長本人的
3.感覺狐仙跟局長合作的有點太順利了，因為局長只是說：救我，我會放妳出去。然後狐仙就真的幫他了</t>
  </si>
  <si>
    <t>我覺得節奏蠻緊湊的</t>
  </si>
  <si>
    <t>場113
這邊鄧小姐好像是要帶核彈的鑰匙來，結果帶錯，然後被護理師帶走，但可能蠻好笑的的
場137
我覺得最後結局結束的有點突然，狐仙跟虎姑婆對視，然後就發現彼此的過去，然後狐仙就走了，既然說狐仙是妖怪之王，那感覺就直接這樣走了好像有點瞭草，而且還是虎姑婆跟他說：你走吧。不要再回來
最後虎姑婆、白賊七、好鼻師他們都有好的結局，但好像沒有特別交代局長他們那邊的最後怎麼了</t>
  </si>
  <si>
    <t>不合理，除非這個護理師也有一些特殊能力</t>
  </si>
  <si>
    <t>咒術迴戰：感覺有蠻多特殊能力可能跟咒術迴戰裡面的角色有點像。
獵人：跟上面的理由蠻像的，會特別提出來是因為，我在想像好鼻師的氣味偵查能力的時候，想像到的是莫老五。
元素方程式：因為我想到水蛇跟水男孩他們操控水的能力的時候，想像到的是這部電影裡面水弟的那種感覺。
怪奇物語：我覺得訓練小孩，然後只有幾個留下來這個情節蠻像的，而且都有一個類似局長在做秘密任務的感覺。
咒：我聯想到的是後面獻祭以及把小孩吃掉的部分，感覺那個場面會跟咒裡面的場景有點像？
返校：這部電影當時的黑霧特效讓我有點出戲，然後這份劇本裡面可能會出現這種類型的場景，所以就擔心了一下會不會有出戲的感覺。</t>
  </si>
  <si>
    <t>現代的妖怪傳說</t>
  </si>
  <si>
    <t>我覺得如果有下一步的話感覺小潔很適合當主角，因為這份劇本的主角感覺是虎姑婆，然後他跟小潔又是有點像母女的關係</t>
  </si>
  <si>
    <t>劇本裡面好像沒有說欣欣有甚麼特殊能力，但我覺得既然他是好鼻師的小孩，感覺他可能可以繼承甚麼能力之類的，因為水蛇的小孩有特殊能力。
然後我有點不清楚是只有妖怪可以有特殊能力，還是一般人透過訓練也可以取得特殊能力
加油！出了我會去看</t>
  </si>
  <si>
    <t>趙珩宇</t>
  </si>
  <si>
    <t>教師</t>
  </si>
  <si>
    <t>前幾天看什麼女孩的</t>
  </si>
  <si>
    <t>覺得她的出現比較能讓人理解發生什麼事情，，當然他也是唯一知道事情來龍去脈的人，但這個角色就是可以讓人得到答案的人。</t>
  </si>
  <si>
    <t>小配角 😅</t>
  </si>
  <si>
    <t>長生不死，找替身</t>
  </si>
  <si>
    <t>我比較想看到一開始的打鬥畫面，如果夠完美的話，可以幫後面他們的特殊能力的討論、定義解決很多問題。</t>
  </si>
  <si>
    <t>不會到無聊，但就後面任務一多，就有點海賊王的感覺 🤔</t>
  </si>
  <si>
    <t>好鼻師太多積累需要照顧，像是故宮的部分，打鬥前還要先安排家人，但他們在前面佈局的時候又可以互相看一眼就知道彼此該做的事情，但照顧其他人反而還要口說 🤔</t>
  </si>
  <si>
    <t>當一開始她讀到虎姑婆記憶時，就多少產生一點關聯感</t>
  </si>
  <si>
    <t>鄧小姐進來本來就很突兀了 🤣 後面有護理師追應該也還可以</t>
  </si>
  <si>
    <t>中間突然穿插的無厘頭內容，有近十年國片的感覺</t>
  </si>
  <si>
    <t>想帶出張憲義的事情吧？</t>
  </si>
  <si>
    <t>諜報野史</t>
  </si>
  <si>
    <t>不確定，要看拍出來的感覺</t>
  </si>
  <si>
    <t>盧晉德</t>
  </si>
  <si>
    <t>生技</t>
  </si>
  <si>
    <t>Mygo總集篇</t>
  </si>
  <si>
    <t>動作片 (如：007、不可能的任務、玩命關頭), 恐怖片, 動漫片</t>
  </si>
  <si>
    <t>很貼近童年回憶</t>
  </si>
  <si>
    <t>虎哥</t>
  </si>
  <si>
    <t>妖魔故事</t>
  </si>
  <si>
    <t>施相宇</t>
  </si>
  <si>
    <t>建築/營造</t>
  </si>
  <si>
    <t>阿煩答 火之燼（？</t>
  </si>
  <si>
    <t>超級英雄片（如：Marvel、DC）, 動作片 (如：007、不可能的任務、玩命關頭), 科幻片, 奇幻冒險片（如：哈利波特系列、魔戒）, 文藝劇情片, 恐怖片, 動漫片, 喜劇片</t>
  </si>
  <si>
    <t>有帶入感</t>
  </si>
  <si>
    <t>不夠可愛（最近被迷音蜥蜴燒到</t>
  </si>
  <si>
    <t>好鼻師：氣味偵查</t>
  </si>
  <si>
    <t>還沒看完，但我猜是復興家族吧！</t>
  </si>
  <si>
    <t>場７, 在這個場景有許多動作畫面，可能因為我蠻喜歡各種風格的動作戲的關係，所以覺得這段蠻有畫面的</t>
  </si>
  <si>
    <t>依前後文還不至於不理解，看不懂直接自動轉換成伏筆 w</t>
  </si>
  <si>
    <t>場123, 感覺幻術是這部劇很重要的一個元素，可以在空間轉換的部分多鋪陳一點，雖然可能有拖沓之嫌疑，但透過空間的轉換，作為劇情中的呼吸點感覺也不錯。</t>
  </si>
  <si>
    <t>可能因為時空背景的關係，只要不要太無中生有，都不會有不合理的感覺。</t>
  </si>
  <si>
    <t>場19：虎姑婆在幻術中，看到局長變成虎哥的模樣，溫柔地對她說：「你平安無事真是太好了，孩子人呢？」</t>
  </si>
  <si>
    <t>感覺醫生、護士這類的角色，讓人覺得離死亡特別近，因此能看到其他存在，也是挺合理的。</t>
  </si>
  <si>
    <t>比較少看台灣傳統文化的電影，所以沒有什麼聯想，就當成獨立世界在觀看。</t>
  </si>
  <si>
    <t>異世界復興</t>
  </si>
  <si>
    <t>讚讚</t>
  </si>
  <si>
    <t>張旭華</t>
  </si>
  <si>
    <t>臺北</t>
  </si>
  <si>
    <t>陽光少女合唱團</t>
  </si>
  <si>
    <t>超級英雄片（如：Marvel、DC）, 動作片 (如：007、不可能的任務、玩命關頭), 刑偵片, 科幻片, 奇幻冒險片（如：哈利波特系列、魔戒）, 恐怖片, 喜劇片</t>
  </si>
  <si>
    <t>設定有趣</t>
  </si>
  <si>
    <t>雖愛家但太懦弱</t>
  </si>
  <si>
    <t>延續壞蛋計畫</t>
  </si>
  <si>
    <t>虎姑婆 虎形打架</t>
  </si>
  <si>
    <t>小孩子看平板 有點莫名奇妙的設定沒有講得很清楚</t>
  </si>
  <si>
    <t>虎姑婆莫名其妙突然對小潔有母愛心態</t>
  </si>
  <si>
    <t>場129：虎姑婆跟虎哥說：「這幾年我一直在想，如果任務順利結束，我們是不是就能找個地方，安靜地待著，遠離那些紛紛擾擾，好好地把孩子養大⋯就跟這裡一樣。」</t>
  </si>
  <si>
    <t>不合理 莫名其妙</t>
  </si>
  <si>
    <t>X戰警 都是變種人跟人類的戰爭 也有一個組織</t>
  </si>
  <si>
    <t>不同物種如何在同一片土地生存</t>
  </si>
  <si>
    <t>動作場面, 妖怪傳說</t>
  </si>
  <si>
    <t>如果拍得好的話 會 / 小潔</t>
  </si>
  <si>
    <t>許哲維</t>
  </si>
  <si>
    <t>超級英雄片（如：Marvel、DC）, 動作片 (如：007、不可能的任務、玩命關頭), 奇幻冒險片（如：哈利波特系列、魔戒）, 動漫片, 喜劇片</t>
  </si>
  <si>
    <t>能力很有趣，在電影中可以發展性比較大，因為不是無敵的也可以鬧出笑話，像是最後救好鼻師女兒那邊，可以把抽筋十分鐘改成走路就扭到腳，畫面會更好笑</t>
  </si>
  <si>
    <t>既然是前期擔當叛徒的重要腳色，應該給他能力跟個性多點刻劃</t>
  </si>
  <si>
    <t>要找到最適合的容器，轉移自己的靈魂，繼續活下去。不過做為大反派有點薄弱，我希望能改成他一直沒辦法用100%狐妖的力量，想要有小潔的能力來掌控狐妖力量，進一步殺光所有妖怪為童年身為容器的自己報仇。</t>
  </si>
  <si>
    <t>125/局長的回憶</t>
  </si>
  <si>
    <t>89/故宮偷資料及後面那段，應該要說明局長沒空管他們的部分</t>
  </si>
  <si>
    <t>鄧小姐在大戰中出現的劇情太過出戲了，前面還算合理但最後那邊太突兀</t>
  </si>
  <si>
    <t>不合理，剛看到會沒辦法聯想到為何</t>
  </si>
  <si>
    <t>天降奇兵，也是妖怪集團，但沒有刻劃這麼深的情感，所以我覺得這劇本更勝一籌</t>
  </si>
  <si>
    <t>面對自己的心結並救贖</t>
  </si>
  <si>
    <t>劇情精彩, 情感真摯, 妖怪傳說</t>
  </si>
  <si>
    <t>會，希望可以演另外一群妖怪在其他縣市發生的故事，最後在會合在一起</t>
  </si>
  <si>
    <t>最後狐妖收得太簡單了，會讓看電影的人覺得虎頭蛇尾，還不如讓他看到虎姑婆救動物而受傷，進而透過狐妖殺死局長再離開</t>
  </si>
  <si>
    <t>宋昆銘</t>
  </si>
  <si>
    <t>媒體出版業</t>
  </si>
  <si>
    <t>荒野機器人、侏羅紀公園重生</t>
  </si>
  <si>
    <t>願意捨棄平靜追求真相</t>
  </si>
  <si>
    <t>形象過於扁平</t>
  </si>
  <si>
    <t>更換軀體，繼續霸佔妖怪之王的能力</t>
  </si>
  <si>
    <t>利用能力戰鬥的場景或是基地等場景都有強烈畫面感</t>
  </si>
  <si>
    <t>水蛇被小潔威脅後立刻回頭殺掉手下</t>
  </si>
  <si>
    <t>鄧小姐的場景似乎有點多餘</t>
  </si>
  <si>
    <t>工業區育幼院的設定有點不自然</t>
  </si>
  <si>
    <t>不合理，可以找到基地太奇怪。</t>
  </si>
  <si>
    <t>像是本土版的 JOJO 冒險野郎</t>
  </si>
  <si>
    <t>套上本土文化的X戰警類型的故事</t>
  </si>
  <si>
    <t>這一集的角色群算是蠻用心的刻畫，如果有外傳的話，感覺詛咒之力其實比較有機會發揮。</t>
  </si>
  <si>
    <t>虎姑婆應該要有隱藏的能力，最終 BOSS 戰時覺醒發動，可能更熱血。</t>
  </si>
  <si>
    <t>莊仁豪</t>
  </si>
  <si>
    <t>醫療</t>
  </si>
  <si>
    <t>超級英雄片（如：Marvel、DC）, 動作片 (如：007、不可能的任務、玩命關頭), 奇幻冒險片（如：哈利波特系列、魔戒）, 動漫片</t>
  </si>
  <si>
    <t>出現時都富有喜感</t>
  </si>
  <si>
    <t>連結到現實有點出戲</t>
  </si>
  <si>
    <t>找接班人; 沒有族人了</t>
  </si>
  <si>
    <t>場137 妖狐出世</t>
  </si>
  <si>
    <t>場139 白賊七老婆有年輕40歲嗎?</t>
  </si>
  <si>
    <t>場80  好鼻師要帶家人離開那段覺得多餘</t>
  </si>
  <si>
    <t>場56, 水蛇幹嘛不把小潔殺了就好，局長也不會知道他殺的</t>
  </si>
  <si>
    <t>不覺得不合理，鄧小姐腳色感覺是戰情室一員，護理師是照護他的腳色</t>
  </si>
  <si>
    <t>X-men</t>
  </si>
  <si>
    <t>野心家的陰謀跟被壓迫的族人努力展開新生</t>
  </si>
  <si>
    <t>妖狐</t>
  </si>
  <si>
    <t>初看劇本時第一個想法是妖怪的設定有點彆扭，除了虎姑婆較可以想像為老虎成精後的變化之外，其餘主角白賊七跟好鼻師都比較難跟妖怪做連結，比較像奇人異事而不是習慣上理解的妖怪，加之妖怪們除了有能力之外其餘似乎皆與常人無異，更難以帶入這個設定，整個感覺跟X-MEN之類的很類似(或各種有能力設定的故事海賊王、獵人之類)。或者是”妖怪”這個詞的關係，妖怪感覺起來是由各種五花八門的理由所形成，想像起來如果是”妖族”、”魔族”之類是個統一的群體，雖然設定基本上是沒有不同，但個人主觀上彆扭感比較少。</t>
  </si>
  <si>
    <t>吳政鴻</t>
  </si>
  <si>
    <t>資訊業</t>
  </si>
  <si>
    <t>一年一次</t>
  </si>
  <si>
    <t>不可能的任務：最終清算</t>
  </si>
  <si>
    <t>超級英雄片（如：Marvel、DC）, 動作片 (如：007、不可能的任務、玩命關頭), 刑偵片, 科幻片, 奇幻冒險片（如：哈利波特系列、魔戒）, 浪漫愛情片, 文藝劇情片, 動漫片, 喜劇片, 歌舞片、紀錄片等</t>
  </si>
  <si>
    <t>超能力比較特別、讀起劇本比較有畫面感</t>
  </si>
  <si>
    <t>覺得影射鄧麗君小姐的成分太高，不是那麼尊重故人</t>
  </si>
  <si>
    <t>他的陰謀就是想長生不老、一直活下去，所以把老族長跟族人都趕盡殺絕；想要把小潔吃掉後利用她的能力重返青春健康。</t>
  </si>
  <si>
    <t>中了幻術與真實場景對比的段落都會比較期待，想看看最終電影的畫面詮釋是否有吸引力且合理。</t>
  </si>
  <si>
    <t>基本上沒有</t>
  </si>
  <si>
    <t>好鼻師跟太太與女兒一起和解的段落有點太肥皂劇了，感覺有點多餘且太輕鬆了（真的這麼容易相互理解那麼妖怪也不需要一直躲躲藏藏、現實上也不會有這麼多家庭問題）</t>
  </si>
  <si>
    <t>一開始的對妖怪的說明有點太籠統，不是那麼的深入，而且個人覺得主角們（虎姑婆、白賊七、好鼻師等人）雖然都有出現在台灣的民間故事裡，但好像各自的故事發展彼此不相干，有些硬湊在一起的感覺（水蛇、蜥蜴好像是因為超能力符合故事需要所以被加進來的？就無所謂是不是台灣的民俗故事出身？）；另外最後狐仙從水男孩身體中被釋放出來，最後居然跟虎姑婆相互理解後平靜地跑掉了？？依照劇本所言，可以封印祂的族人已經滅亡了，照理說祂可以想做什麼就做什麼，而且活了一千年被關這麼久，一個瞬間就原諒一切，個人覺得有點太簡單了：故事一開始的說明煞有其事，有種重重拿起、最終輕輕放下的不合理感。</t>
  </si>
  <si>
    <t>場38水蛇出場的時候：因為在場17水男孩就用過相同的水刃招式</t>
  </si>
  <si>
    <t>場16：小潔在電梯中，直視虎姑婆的眼睛跟她說，囚禁他們的，是同一個人。</t>
  </si>
  <si>
    <t>會，覺得常跑到後山基地這個設定太牽強了，而且一般養老院的護理師應該不會像貼身私人醫護一樣（設定可以調整？）</t>
  </si>
  <si>
    <t>人物設定像是漫威的X戰警系列，有些場景會聯想到美國隊長或復仇者系列等</t>
  </si>
  <si>
    <t>想要融合台灣民俗、民國政府核彈發展野史並實現個人正義並且與現實對抗的英雄故事</t>
  </si>
  <si>
    <t>如果看了覺得不錯當然會推薦：根據劇本，很多場景的成敗與拍攝手法以及動畫製作的細膩度有高度關係。</t>
  </si>
  <si>
    <t>狐仙當主角，跟中國或是日本的妖怪聯動之類的。</t>
  </si>
  <si>
    <t>設定的部分可以再細膩一些：
1. 例如故事一開始的說明有點薄弱
2. 後段描述小局長跟狐仙借力量，把老族長殺了的段落，就是在看火影忍者跟人柱力呀~
而且狐仙被關這麼久，不會跟歷代的承載者談條件嗎？
劇本的拼湊感或是既視感很重，需要把獨特的設定巧思或特色呈現出來，不然會變得像在東施效顰。</t>
  </si>
  <si>
    <t>丁展譽</t>
  </si>
  <si>
    <t>台北市</t>
  </si>
  <si>
    <t>科技 / 新創 / 網路 / 行銷</t>
  </si>
  <si>
    <t>雙囍、大濛、陽光女子、Marty Supreme、冠軍之路、Send Help</t>
  </si>
  <si>
    <t>白賊七的詛咒能力很酷，雖然是智力擔當但性格偶爾有點傻萌，這個反差感很棒；是個存在感很強的角色。
很喜歡老年鄧小姊的再次出場，是讓人安心又可靠的帥氣老太太。</t>
  </si>
  <si>
    <t>水男孩</t>
  </si>
  <si>
    <t>就是個討厭的小屁孩</t>
  </si>
  <si>
    <t>恐懼死亡、想要永遠活著，本質上他已經算是妖怪之王了吧。</t>
  </si>
  <si>
    <t>動作場景都蠻期待的
場41-42（跟白賊七重逢）與場74-75（故宮）這兩段感覺也是畫面呈現會有很有趣的段落</t>
  </si>
  <si>
    <t>都看得懂</t>
  </si>
  <si>
    <t>沒有特別覺得無聊的段落</t>
  </si>
  <si>
    <t>有些用詞太有現代感，例如「閨蜜」「境外勢力」等等，體感會覺得不像是1988年會出現的字</t>
  </si>
  <si>
    <t>還好，雖然不太合理但把它當成一個喜劇橋段來看，好像也沒必要太深究</t>
  </si>
  <si>
    <t>虎姑婆的強悍打鬥角色形象有不死軍團的感覺
好鼻師的螞蟻戰甲會想到鋼鐵人+Spawn
白賊七的詛咒能力像咒術迴戰裡的咒言師狗卷
訓練設施、篩選兒童的部分就很有許多日本動漫作品的影子</t>
  </si>
  <si>
    <t>一群半人半妖的王道冒險故事</t>
  </si>
  <si>
    <t>會的，好奇白賊七躲避的40年發生了什麼事，另外，如果妖怪的能力會繼承（水男孩），那也會蠻想知道好鼻師的女兒覺醒後的發展</t>
  </si>
  <si>
    <t>劇本整體讀起來很流暢，也很有畫面感</t>
  </si>
  <si>
    <t>謝嘉芫</t>
  </si>
  <si>
    <t>廣告行銷</t>
  </si>
  <si>
    <t>冠軍之路、鬼滅之刃無限城、排球少年垃圾場的決戰</t>
  </si>
  <si>
    <t>超級英雄片（如：Marvel、DC）, 動漫片</t>
  </si>
  <si>
    <t>白賊七的能力蠻帥，在關鍵劇情也有起到作用</t>
  </si>
  <si>
    <t>沒有共鳴，也不了解角色動機</t>
  </si>
  <si>
    <t>靠狐仙幫助自己，不想要繼承家族的遺志</t>
  </si>
  <si>
    <t>44頁左右，虎姑婆等人駕車逃離水蛇，有追打最後驚險逃脫成功，有畫面感。
場97，蜥蜴跟白賊七對決，白賊七最後智取</t>
  </si>
  <si>
    <t>為什麼小潔特別厲害（天生神力 chosen one ?</t>
  </si>
  <si>
    <t>都還ok</t>
  </si>
  <si>
    <t>小潔跟虎姑婆之間太快有革命情感了，而且小潔這個角色單薄，對比其他人都是有典故的妖怪，她好像純粹為了推進劇情用，沒有記憶點也沒有喜歡上這角色。</t>
  </si>
  <si>
    <t>沒感覺，覺得不是特別重要的角色，只當作讓鄧奶奶退場的小橋段。（但我很喜歡鄧奶奶原來是特務，開頭第一幕戲的角色竟然還有功能，第一次看到蠻驚喜的）</t>
  </si>
  <si>
    <t>早期的雷神索爾、美國隊長、蟻人等等，英雄的起源故事。</t>
  </si>
  <si>
    <t>虎姑婆解決了一個一直困在自己心裡已久的疑問與心魔（當初到底發生什麼事？怎麼結束的？為什麼突然變成這樣）</t>
  </si>
  <si>
    <t>動作場面</t>
  </si>
  <si>
    <t>不特別，沒有特別聯想還會有什麼傳說故事的可能性。因為角色的故事都收尾了，對於能怎麼擴張沒有想像力。</t>
  </si>
  <si>
    <t>好不好看可能取決於動作場面與特效。三個英雄最喜歡白賊七的能力，好鼻師就能力如其名不意外（但我還是不知道為什麼他會用螞蟻，其實有歷史典故嗎？）虎姑婆的最普通，就是力量型角色而已，沒吸引人。其次是情感訴求不明，虎姑婆在意的事情好像沒辦法引起我的共鳴，就是有沒有解決最終魔王、他有沒有跟自己的過去和解看完都不太在意。反派的名氣也顯得比較小（水蛇、蜥蜴），跟主角群的名氣有點不匹配？最後是沒有感受出小潔這個角色的魅力，只作為推進劇情的小跟班用途。</t>
  </si>
  <si>
    <t>陳巧孟</t>
  </si>
  <si>
    <t>台中市</t>
  </si>
  <si>
    <t>房地產</t>
  </si>
  <si>
    <t xml:space="preserve">大濛、左撇子女孩、女孩 </t>
  </si>
  <si>
    <t>超級英雄片（如：Marvel、DC）, 奇幻冒險片（如：哈利波特系列、魔戒）, 文藝劇情片, 動漫片</t>
  </si>
  <si>
    <t>白賊七的腳色前面會以為是很兩光幽默的感覺，後續出現的反差感，詞裡留的伏筆、計畫邏輯帶領其他妖怪的過程</t>
  </si>
  <si>
    <t>因他自己的忌妒蒙蔽即無法思考看待局長做這些事情的意義與真實了</t>
  </si>
  <si>
    <t>局長年邁加上身體條件越來越差，策劃ELT未來菁英班、收購育幼院成訓練所，來找尋精神韌性高的學童，以靈換靈，截獲新生。</t>
  </si>
  <si>
    <t>場75，在故宮竊取手稿</t>
  </si>
  <si>
    <t>場113，鄧小姐與看護出現的不太合理{老是開溜，會跑來這裡}，及過程對劇情進展不大，像是過場</t>
  </si>
  <si>
    <t>同上題</t>
  </si>
  <si>
    <t>不合理/戰情室這麼簡單就可以讓鄧小姐與看護常進出??</t>
  </si>
  <si>
    <t>西遊記</t>
  </si>
  <si>
    <t>民間故事的人物與能力試著融入人類世界，好好活下去，維持平衡。</t>
  </si>
  <si>
    <t>劇情精彩, 妖怪傳說</t>
  </si>
  <si>
    <t>郭冠璟</t>
  </si>
  <si>
    <t>法律系</t>
  </si>
  <si>
    <t>阿凡達3、大濛、陽光女子合唱團</t>
  </si>
  <si>
    <t>超級英雄片（如：Marvel、DC）, 動作片 (如：007、不可能的任務、玩命關頭), 刑偵片, 科幻片, 奇幻冒險片（如：哈利波特系列、魔戒）, 浪漫愛情片, 文藝劇情片, 動漫片, 喜劇片</t>
  </si>
  <si>
    <t>虎姑婆, 白賊七, 小潔</t>
  </si>
  <si>
    <t>白賊七的咒術不適每次都成功有笑點、虎姑婆很灑脫很正義、小潔很聰明靈動</t>
  </si>
  <si>
    <t>壞人身邊的走狗 還虛偽的叫學長姊</t>
  </si>
  <si>
    <t>利用意識是轉換到精神韌性最強的小孩身上讓自己能夠永遠的活著並且繼續獲得狐仙的幻術</t>
  </si>
  <si>
    <t>蜥蜴按下炸彈核彈爆發虎姑婆胸前的玉珮吸收核彈能量的那瞬間特別有畫面感</t>
  </si>
  <si>
    <t>不理解為何中山樓是最適合擺祭壇的地方</t>
  </si>
  <si>
    <t>後山基地如果離療養院很遠的話 鄧小姐如何自己常常跑去後山基地的 護理師又是如何知道鄧小姐會去的然後還找到這個地點 畢竟這個地點藏有很多軍事秘密 不可能是容易被發現的地方</t>
  </si>
  <si>
    <t>不合理 後山基地如果離療養院很遠的話 鄧小姐如何自己常常跑去後山基地的 護理師又是如何知道鄧小姐會去的然後還找到這個地點 畢竟這個地點藏有很多軍事秘密 不可能是容易被發現的地方</t>
  </si>
  <si>
    <t>妖怪試圖找到當年被背叛並且害夥伴去世的真相並徹底徹底解決禍源的冒險故事</t>
  </si>
  <si>
    <t>情感真摯, 諜報野史, 妖怪傳說</t>
  </si>
  <si>
    <t>會 期待小潔擔任主角</t>
  </si>
  <si>
    <t>呂存笙</t>
  </si>
  <si>
    <t>中醫系</t>
  </si>
  <si>
    <t>魔法公主</t>
  </si>
  <si>
    <t>超級英雄片（如：Marvel、DC）, 科幻片, 恐怖片, 動漫片</t>
  </si>
  <si>
    <t>印象中白賊七好像是跟說謊有關(愛耍嘴皮子)，加上他比較生動的台詞，讓人感覺比較貼近，而且比較有在動腦。</t>
  </si>
  <si>
    <t>我覺得局長有點可惜，因為他擁有的其實是我最喜歡的能力之一，感覺如果是以自私的角度來看，他感覺也沒有展現出幻覺的極致。如果是我要以封印千年妖怪的道德制高點來看，也感覺力度稍顯不足，會覺得是一個比較沒辦法handle住這能力的角色。
可能是因為我自己稍微有一點刻板印象，在看劇本難免會去跟其他作品的能用幻術系列(相關能力)去做比較。感覺格調上，目的上，手段上，都有點不足。</t>
  </si>
  <si>
    <t>單純以後面的劇情看起來，原本是要以封印千年妖怪作為藉口，但好像是可以將自己意識無限傳遞下去達到真正的永生？（自私的角度來看），但我確實有點看不懂核彈的鋪成，只為了局長想要假死嗎</t>
  </si>
  <si>
    <t>場17:頁碼第25頁</t>
  </si>
  <si>
    <t>看起來沒有覺得太無聊</t>
  </si>
  <si>
    <t>延續前幾題，以核彈的計畫展開，給我的感覺是妖怪跟人已經算可以生活在一起了? 神秘家族應該指的是局長的家族，如果是他封印了妖怪之王，妖怪還會在他底下工作嗎(在他底下的妖怪都沒聽過妖怪之王這一段歷史?)，感覺世界觀好像沒有講得很清楚。
另一個是阿鼻師的女兒被帶走，結果他回說這樣明天他媽媽來接他會找不到人? 這一段話滿齣戲的，不應該是先擔心自己女兒有怎麼樣嗎</t>
  </si>
  <si>
    <t>覺得不合理，所以會開始懷疑這個護理師有沒有其他安排之類的。
感覺如果真的到那個場地去找病人，也會被開會這幾人嚇到?不應該是這麼稀鬆平常把人帶走。</t>
  </si>
  <si>
    <t>黑袍糾察隊(雖然不是電影)，平成狸合戰，MARVEL系列超級英雄電影等等</t>
  </si>
  <si>
    <t>妖怪在找活下去的信念</t>
  </si>
  <si>
    <t>如果有的話，希望可以白賊七當主角</t>
  </si>
  <si>
    <t>不好意思拖了一些時間，裡面的用詞感覺有點犀利是因為我真的想知道，如果有不懂的話可以跟我用電話討論，你們真的很辛苦！第一次參與這類型的活動有點緊張，謝謝你們！</t>
  </si>
  <si>
    <t>時間戳記</t>
  </si>
  <si>
    <t>Email</t>
  </si>
  <si>
    <t>地址</t>
  </si>
  <si>
    <t>郵遞區號</t>
  </si>
  <si>
    <t>寄送日期（每週四）</t>
  </si>
  <si>
    <t>不用寄送</t>
  </si>
  <si>
    <t>手機 (選填)</t>
  </si>
  <si>
    <t>是哪位朋友邀請您填寫這份表單的呢？</t>
  </si>
  <si>
    <t>備註、疑問，或任何想與我們說的話～</t>
  </si>
  <si>
    <t>為什麼要鋪成一個監視核彈的計畫，除了要給局長假死的鋪成之外。</t>
  </si>
  <si>
    <t>李莉穎</t>
  </si>
  <si>
    <t>基隆市</t>
  </si>
  <si>
    <t>教育</t>
  </si>
  <si>
    <t>立體 有感情 有個性</t>
  </si>
  <si>
    <t>純粹的反派 感覺是故事需求而生的角色</t>
  </si>
  <si>
    <t>被害者視角</t>
  </si>
  <si>
    <t>虎哥出現的畫面 +好鼻師的能力+北賊七詛咒的能力+把水蛇變成布丁那裡</t>
  </si>
  <si>
    <t>前面起初以為在看小說 閱讀的比較慢 角色之間的關係不太理解 後來就慢慢看懂了</t>
  </si>
  <si>
    <t>場70：小潔將玉佩還給虎姑婆時，虎姑婆說：「謝謝你。我一直以為，這東西在核爆的時候毀掉了…這是我未婚夫送我的護身符」</t>
  </si>
  <si>
    <t>確實不太合理 但我可以接受 因為劇情安排的關係</t>
  </si>
  <si>
    <t>怪奇物語</t>
  </si>
  <si>
    <t>妖怪擬人的感情故事</t>
  </si>
  <si>
    <t>都可以 應該是小潔未來的發展</t>
  </si>
  <si>
    <t>感謝分享 很精彩</t>
  </si>
  <si>
    <t>黃楷云</t>
  </si>
  <si>
    <t>15-20</t>
  </si>
  <si>
    <t>高中一年級</t>
  </si>
  <si>
    <t>動物方城市2、鏈鋸人蕾潔篇</t>
  </si>
  <si>
    <t>動漫片</t>
  </si>
  <si>
    <t>對小潔有情有義</t>
  </si>
  <si>
    <t>一心為己</t>
  </si>
  <si>
    <t>水蛇、水男孩, 蜥蜴</t>
  </si>
  <si>
    <t>想延續自己的幻術能力</t>
  </si>
  <si>
    <t>好鼻師使用幻術讓女兒聞到雞蛋糕氣味喚醒女兒</t>
  </si>
  <si>
    <t>不合理
從劇本裡無從得知鄧小姐安養院與後山基地的相互位置</t>
  </si>
  <si>
    <t>眾妖為了解除有人為一己之私所犯下的種種惡行付出努力</t>
  </si>
  <si>
    <t>我對這類主題沒有興趣</t>
  </si>
  <si>
    <t>不期待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</si>
</sst>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m/d/yyyy\ h:mm:ss"/>
    <numFmt numFmtId="177" formatCode="yyyy/mm/dd"/>
  </numFmts>
  <fonts count="14" x14ac:knownFonts="1">
    <font>
      <sz val="10"/>
      <color rgb="FF000000"/>
      <name val="Arial"/>
      <scheme val="minor"/>
    </font>
    <font>
      <sz val="10"/>
      <color theme="1"/>
      <name val="Arial"/>
      <family val="2"/>
      <scheme val="minor"/>
    </font>
    <font>
      <u/>
      <sz val="10"/>
      <color rgb="FF0000FF"/>
      <name val="Arial"/>
      <family val="2"/>
    </font>
    <font>
      <sz val="10"/>
      <color rgb="FF000000"/>
      <name val="Roboto"/>
    </font>
    <font>
      <sz val="10"/>
      <color rgb="FF000000"/>
      <name val="Arial"/>
      <family val="2"/>
      <scheme val="minor"/>
    </font>
    <font>
      <u/>
      <sz val="10"/>
      <color theme="1"/>
      <name val="Arial"/>
      <family val="2"/>
      <scheme val="minor"/>
    </font>
    <font>
      <b/>
      <u/>
      <sz val="10"/>
      <color rgb="FF1155CC"/>
      <name val="Arial"/>
      <family val="2"/>
    </font>
    <font>
      <sz val="10"/>
      <color theme="1"/>
      <name val="Arial"/>
      <family val="2"/>
    </font>
    <font>
      <sz val="10"/>
      <color theme="1"/>
      <name val="Roboto"/>
    </font>
    <font>
      <sz val="9"/>
      <name val="Arial"/>
      <family val="1"/>
      <charset val="136"/>
      <scheme val="minor"/>
    </font>
    <font>
      <sz val="10"/>
      <color rgb="FF000000"/>
      <name val="Roboto"/>
      <charset val="1"/>
    </font>
    <font>
      <b/>
      <sz val="10"/>
      <color theme="1"/>
      <name val="Arial"/>
      <family val="2"/>
      <scheme val="minor"/>
    </font>
    <font>
      <sz val="10"/>
      <color rgb="FFFF0000"/>
      <name val="Arial"/>
      <family val="2"/>
      <scheme val="minor"/>
    </font>
    <font>
      <sz val="10"/>
      <color rgb="FFFF0000"/>
      <name val="Roboto"/>
    </font>
  </fonts>
  <fills count="6">
    <fill>
      <patternFill patternType="none"/>
    </fill>
    <fill>
      <patternFill patternType="gray125"/>
    </fill>
    <fill>
      <patternFill patternType="solid">
        <fgColor rgb="FFFFFFFF"/>
        <bgColor rgb="FFFFFFFF"/>
      </patternFill>
    </fill>
    <fill>
      <patternFill patternType="solid">
        <fgColor rgb="FFFFF2CC"/>
        <bgColor rgb="FFFFF2CC"/>
      </patternFill>
    </fill>
    <fill>
      <patternFill patternType="solid">
        <fgColor rgb="FF0000FF"/>
        <bgColor rgb="FF0000FF"/>
      </patternFill>
    </fill>
    <fill>
      <patternFill patternType="solid">
        <fgColor rgb="FFD9EAD3"/>
        <bgColor rgb="FFD9EAD3"/>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7">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2" borderId="1" xfId="0" applyFont="1" applyFill="1" applyBorder="1" applyAlignment="1">
      <alignment vertical="center" wrapText="1"/>
    </xf>
    <xf numFmtId="0" fontId="4" fillId="0" borderId="0" xfId="0" applyFont="1" applyAlignment="1">
      <alignment vertical="center" wrapText="1"/>
    </xf>
    <xf numFmtId="0" fontId="1" fillId="0" borderId="0" xfId="0" applyFont="1" applyAlignment="1">
      <alignment vertical="center"/>
    </xf>
    <xf numFmtId="0" fontId="1" fillId="0" borderId="0" xfId="0" applyFont="1" applyAlignment="1">
      <alignment horizontal="left" vertical="center" wrapText="1"/>
    </xf>
    <xf numFmtId="0" fontId="5" fillId="0" borderId="0" xfId="0" applyFont="1" applyAlignment="1">
      <alignment vertical="center" wrapText="1"/>
    </xf>
    <xf numFmtId="0" fontId="1" fillId="0" borderId="0" xfId="0" applyFont="1"/>
    <xf numFmtId="0" fontId="6" fillId="3" borderId="0" xfId="0" applyFont="1" applyFill="1" applyAlignment="1">
      <alignment horizontal="center"/>
    </xf>
    <xf numFmtId="177" fontId="7" fillId="0" borderId="0" xfId="0" applyNumberFormat="1" applyFont="1" applyAlignment="1">
      <alignment horizontal="right"/>
    </xf>
    <xf numFmtId="0" fontId="7" fillId="0" borderId="0" xfId="0" applyFont="1"/>
    <xf numFmtId="0" fontId="8" fillId="4" borderId="0" xfId="0" applyFont="1" applyFill="1" applyAlignment="1">
      <alignment horizontal="left" vertical="center" wrapText="1"/>
    </xf>
    <xf numFmtId="0" fontId="4" fillId="5" borderId="0" xfId="0" applyFont="1" applyFill="1" applyAlignment="1">
      <alignment vertical="center" wrapText="1"/>
    </xf>
    <xf numFmtId="0" fontId="3" fillId="5" borderId="1" xfId="0" applyFont="1" applyFill="1" applyBorder="1" applyAlignment="1">
      <alignment vertical="center" wrapText="1"/>
    </xf>
    <xf numFmtId="0" fontId="8" fillId="0" borderId="0" xfId="0" applyFont="1" applyAlignment="1">
      <alignment horizontal="left" vertical="center"/>
    </xf>
    <xf numFmtId="0" fontId="8" fillId="0" borderId="0" xfId="0" applyFont="1" applyAlignment="1">
      <alignment horizontal="left" vertical="center" wrapText="1"/>
    </xf>
    <xf numFmtId="176" fontId="1" fillId="0" borderId="0" xfId="0" applyNumberFormat="1" applyFont="1" applyAlignment="1">
      <alignment vertical="top"/>
    </xf>
    <xf numFmtId="0" fontId="1" fillId="0" borderId="0" xfId="0" applyFont="1" applyAlignment="1">
      <alignment vertical="top"/>
    </xf>
    <xf numFmtId="0" fontId="4" fillId="0" borderId="0" xfId="0" applyFont="1" applyAlignment="1">
      <alignment wrapText="1"/>
    </xf>
    <xf numFmtId="0" fontId="0" fillId="0" borderId="0" xfId="0" applyAlignment="1">
      <alignment wrapText="1"/>
    </xf>
    <xf numFmtId="0" fontId="10" fillId="0" borderId="0" xfId="0" applyFont="1" applyAlignment="1">
      <alignment wrapText="1"/>
    </xf>
    <xf numFmtId="0" fontId="11" fillId="0" borderId="0" xfId="0" applyFont="1"/>
    <xf numFmtId="0" fontId="11" fillId="0" borderId="0" xfId="0" applyFont="1" applyAlignment="1">
      <alignment wrapText="1"/>
    </xf>
    <xf numFmtId="0" fontId="12" fillId="2" borderId="2" xfId="0" applyFont="1" applyFill="1" applyBorder="1" applyAlignment="1">
      <alignment vertical="center" wrapText="1"/>
    </xf>
    <xf numFmtId="0" fontId="13" fillId="2" borderId="2" xfId="0" applyFont="1" applyFill="1" applyBorder="1" applyAlignment="1">
      <alignment vertical="center" wrapText="1"/>
    </xf>
    <xf numFmtId="0" fontId="12" fillId="0" borderId="0" xfId="0" applyFont="1"/>
  </cellXfs>
  <cellStyles count="1">
    <cellStyle name="一般" xfId="0" builtinId="0"/>
  </cellStyles>
  <dxfs count="56">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ont>
        <strike val="0"/>
        <outline val="0"/>
        <shadow val="0"/>
        <u val="none"/>
        <vertAlign val="baseline"/>
        <sz val="10"/>
        <color theme="1"/>
        <name val="Arial"/>
        <scheme val="minor"/>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5">
    <tableStyle name="表單回覆 整合-style" pivot="0" count="3" xr9:uid="{00000000-0011-0000-FFFF-FFFF00000000}">
      <tableStyleElement type="headerRow" dxfId="55"/>
      <tableStyleElement type="firstRowStripe" dxfId="54"/>
      <tableStyleElement type="secondRowStripe" dxfId="53"/>
    </tableStyle>
    <tableStyle name="表單回覆 整合-style 2" pivot="0" count="2" xr9:uid="{00000000-0011-0000-FFFF-FFFF01000000}">
      <tableStyleElement type="firstRowStripe" dxfId="52"/>
      <tableStyleElement type="secondRowStripe" dxfId="51"/>
    </tableStyle>
    <tableStyle name="表單回覆 1 (勿動!!!)-style" pivot="0" count="4" xr9:uid="{00000000-0011-0000-FFFF-FFFF02000000}">
      <tableStyleElement type="wholeTable" size="0" dxfId="50"/>
      <tableStyleElement type="headerRow" dxfId="49"/>
      <tableStyleElement type="firstRowStripe" dxfId="48"/>
      <tableStyleElement type="secondRowStripe" dxfId="47"/>
    </tableStyle>
    <tableStyle name="表單回覆 整合-公式-style" pivot="0" count="4" xr9:uid="{00000000-0011-0000-FFFF-FFFF03000000}">
      <tableStyleElement type="wholeTable" size="0" dxfId="46"/>
      <tableStyleElement type="headerRow" dxfId="45"/>
      <tableStyleElement type="firstRowStripe" dxfId="44"/>
      <tableStyleElement type="secondRowStripe" dxfId="43"/>
    </tableStyle>
    <tableStyle name="彼此影業 劇本盲測對象調查 - 盲測初選名單 (已自動連結)-style" pivot="0" count="4" xr9:uid="{00000000-0011-0000-FFFF-FFFF04000000}">
      <tableStyleElement type="wholeTable" size="0" dxfId="42"/>
      <tableStyleElement type="headerRow" dxfId="41"/>
      <tableStyleElement type="firstRowStripe" dxfId="40"/>
      <tableStyleElement type="secondRowStripe" dxfId="3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documenttasks/documenttask1.xml><?xml version="1.0" encoding="utf-8"?>
<Tasks xmlns="http://schemas.microsoft.com/office/tasks/2019/documenttasks"/>
</file>

<file path=xl/persons/person.xml><?xml version="1.0" encoding="utf-8"?>
<x18tc:personList xmlns:x18tc="http://schemas.microsoft.com/office/spreadsheetml/2018/threadedcomments">
  <x18tc:person displayName="intern EOF" id="{bb9d3f52-4419-4d72-a8f0-273807dc2031}"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J1" headerRowCount="0" headerRowDxfId="38" dataDxfId="37" totalsRowDxfId="36">
  <tableColumns count="36">
    <tableColumn id="1" xr3:uid="{00000000-0010-0000-0000-000001000000}" name="Column1" dataDxfId="35"/>
    <tableColumn id="2" xr3:uid="{00000000-0010-0000-0000-000002000000}" name="Column2" dataDxfId="34"/>
    <tableColumn id="3" xr3:uid="{00000000-0010-0000-0000-000003000000}" name="Column3" dataDxfId="33"/>
    <tableColumn id="4" xr3:uid="{00000000-0010-0000-0000-000004000000}" name="Column4" dataDxfId="32"/>
    <tableColumn id="5" xr3:uid="{00000000-0010-0000-0000-000005000000}" name="Column5" dataDxfId="31"/>
    <tableColumn id="6" xr3:uid="{00000000-0010-0000-0000-000006000000}" name="Column6" dataDxfId="30"/>
    <tableColumn id="7" xr3:uid="{00000000-0010-0000-0000-000007000000}" name="Column7" dataDxfId="29"/>
    <tableColumn id="8" xr3:uid="{00000000-0010-0000-0000-000008000000}" name="Column8" dataDxfId="28"/>
    <tableColumn id="9" xr3:uid="{00000000-0010-0000-0000-000009000000}" name="Column9" dataDxfId="27"/>
    <tableColumn id="10" xr3:uid="{00000000-0010-0000-0000-00000A000000}" name="Column10" dataDxfId="26"/>
    <tableColumn id="11" xr3:uid="{00000000-0010-0000-0000-00000B000000}" name="Column11" dataDxfId="25"/>
    <tableColumn id="12" xr3:uid="{00000000-0010-0000-0000-00000C000000}" name="Column12" dataDxfId="24"/>
    <tableColumn id="13" xr3:uid="{00000000-0010-0000-0000-00000D000000}" name="Column13" dataDxfId="23"/>
    <tableColumn id="14" xr3:uid="{00000000-0010-0000-0000-00000E000000}" name="Column14" dataDxfId="22"/>
    <tableColumn id="15" xr3:uid="{00000000-0010-0000-0000-00000F000000}" name="Column15" dataDxfId="21"/>
    <tableColumn id="16" xr3:uid="{00000000-0010-0000-0000-000010000000}" name="Column16" dataDxfId="20"/>
    <tableColumn id="17" xr3:uid="{00000000-0010-0000-0000-000011000000}" name="Column17" dataDxfId="19"/>
    <tableColumn id="18" xr3:uid="{00000000-0010-0000-0000-000012000000}" name="Column18" dataDxfId="18"/>
    <tableColumn id="19" xr3:uid="{00000000-0010-0000-0000-000013000000}" name="Column19" dataDxfId="17"/>
    <tableColumn id="20" xr3:uid="{00000000-0010-0000-0000-000014000000}" name="Column20" dataDxfId="16"/>
    <tableColumn id="21" xr3:uid="{00000000-0010-0000-0000-000015000000}" name="Column21" dataDxfId="15"/>
    <tableColumn id="22" xr3:uid="{00000000-0010-0000-0000-000016000000}" name="Column22" dataDxfId="14"/>
    <tableColumn id="23" xr3:uid="{00000000-0010-0000-0000-000017000000}" name="Column23" dataDxfId="13"/>
    <tableColumn id="24" xr3:uid="{00000000-0010-0000-0000-000018000000}" name="Column24" dataDxfId="12"/>
    <tableColumn id="25" xr3:uid="{00000000-0010-0000-0000-000019000000}" name="Column25" dataDxfId="11"/>
    <tableColumn id="26" xr3:uid="{00000000-0010-0000-0000-00001A000000}" name="Column26" dataDxfId="10"/>
    <tableColumn id="27" xr3:uid="{00000000-0010-0000-0000-00001B000000}" name="Column27" dataDxfId="9"/>
    <tableColumn id="28" xr3:uid="{00000000-0010-0000-0000-00001C000000}" name="Column28" dataDxfId="8"/>
    <tableColumn id="29" xr3:uid="{00000000-0010-0000-0000-00001D000000}" name="Column29" dataDxfId="7"/>
    <tableColumn id="30" xr3:uid="{00000000-0010-0000-0000-00001E000000}" name="Column30" dataDxfId="6"/>
    <tableColumn id="31" xr3:uid="{00000000-0010-0000-0000-00001F000000}" name="Column31" dataDxfId="5"/>
    <tableColumn id="32" xr3:uid="{00000000-0010-0000-0000-000020000000}" name="Column32" dataDxfId="4"/>
    <tableColumn id="33" xr3:uid="{00000000-0010-0000-0000-000021000000}" name="Column33" dataDxfId="3"/>
    <tableColumn id="34" xr3:uid="{00000000-0010-0000-0000-000022000000}" name="Column34" dataDxfId="2"/>
    <tableColumn id="35" xr3:uid="{00000000-0010-0000-0000-000023000000}" name="Column35" dataDxfId="1"/>
    <tableColumn id="36" xr3:uid="{00000000-0010-0000-0000-000024000000}" name="Column36" dataDxfId="0"/>
  </tableColumns>
  <tableStyleInfo name="表單回覆 整合-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表_1" displayName="表_1" ref="A1:L55">
  <tableColumns count="12">
    <tableColumn id="1" xr3:uid="{00000000-0010-0000-0200-000001000000}" name="時間戳記"/>
    <tableColumn id="2" xr3:uid="{00000000-0010-0000-0200-000002000000}" name="姓名"/>
    <tableColumn id="3" xr3:uid="{00000000-0010-0000-0200-000003000000}" name="Email"/>
    <tableColumn id="4" xr3:uid="{00000000-0010-0000-0200-000004000000}" name="手機 (選填)"/>
    <tableColumn id="5" xr3:uid="{00000000-0010-0000-0200-000005000000}" name="性別"/>
    <tableColumn id="6" xr3:uid="{00000000-0010-0000-0200-000006000000}" name="年齡"/>
    <tableColumn id="7" xr3:uid="{00000000-0010-0000-0200-000007000000}" name="工作產業 / 學生請填就讀科系"/>
    <tableColumn id="8" xr3:uid="{00000000-0010-0000-0200-000008000000}" name="進「電影院」觀影頻率"/>
    <tableColumn id="9" xr3:uid="{00000000-0010-0000-0200-000009000000}" name="最近進電影院看的電影（數量不限）"/>
    <tableColumn id="10" xr3:uid="{00000000-0010-0000-0200-00000A000000}" name="喜歡的電影類型 （多選）"/>
    <tableColumn id="11" xr3:uid="{00000000-0010-0000-0200-00000B000000}" name="是哪位朋友邀請您填寫這份表單的呢？"/>
    <tableColumn id="12" xr3:uid="{00000000-0010-0000-0200-00000C000000}" name="備註、疑問，或任何想與我們說的話～"/>
  </tableColumns>
  <tableStyleInfo name="彼此影業 劇本盲測對象調查 - 盲測初選名單 (已自動連結)-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3-26T07:10:47.00" personId="{bb9d3f52-4419-4d72-a8f0-273807dc2031}" id="{b5b6b18e-d91d-4695-a003-1374fe2113b0}" done="0">
    <x18tc:text xml:space="preserve">綠色底為公式，運作方式為：
1. 表單回覆抓非空白欄位 (A:E)
2. 對照姓名，對照出看電影習慣 (F:G)
3. 對照姓名，抓回劇本反饋 (I:AI)</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hyperlink" Target="https://docs.google.com/document/d/1Jjrh0f3MQD3Fs1apkG526S8MGyeWLJUuEl4ytVWk8zw/edit?usp=drive_link" TargetMode="External"/><Relationship Id="rId2" Type="http://schemas.openxmlformats.org/officeDocument/2006/relationships/hyperlink" Target="https://docs.google.com/document/d/1Jjrh0f3MQD3Fs1apkG526S8MGyeWLJUuEl4ytVWk8zw/edit?usp=drive_link" TargetMode="External"/><Relationship Id="rId1" Type="http://schemas.openxmlformats.org/officeDocument/2006/relationships/hyperlink" Target="https://docs.google.com/document/d/1Jjrh0f3MQD3Fs1apkG526S8MGyeWLJUuEl4ytVWk8zw/edit?usp=drive_link" TargetMode="External"/><Relationship Id="rId6" Type="http://schemas.openxmlformats.org/officeDocument/2006/relationships/table" Target="../tables/table1.xml"/><Relationship Id="rId5" Type="http://schemas.openxmlformats.org/officeDocument/2006/relationships/hyperlink" Target="https://docs.google.com/document/d/1quiLSRzF1POfIy8lg6DAbXBOJyo19HT7GBhHmk_NKd0/edit?usp=drive_link" TargetMode="External"/><Relationship Id="rId4" Type="http://schemas.openxmlformats.org/officeDocument/2006/relationships/hyperlink" Target="https://docs.google.com/document/d/1quiLSRzF1POfIy8lg6DAbXBOJyo19HT7GBhHmk_NKd0/edit?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8QJjAg6iVCOpJSP54-XhkBctpCgXpK6o97yNpMKpCrQ/edit?gid=637142103"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docs.google.com/document/d/1quiLSRzF1POfIy8lg6DAbXBOJyo19HT7GBhHmk_NKd0/edit?usp=drive_link" TargetMode="External"/><Relationship Id="rId1" Type="http://schemas.openxmlformats.org/officeDocument/2006/relationships/hyperlink" Target="https://docs.google.com/document/d/1quiLSRzF1POfIy8lg6DAbXBOJyo19HT7GBhHmk_NKd0/edit?usp=drive_link" TargetMode="External"/><Relationship Id="rId6" Type="http://schemas.microsoft.com/office/2017/10/relationships/threadedComment" Target="../threadedComments/threadedComment1.xml"/><Relationship Id="rId5" Type="http://schemas.microsoft.com/office/2019/04/relationships/documenttask" Target="../documenttasks/documenttask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J129"/>
  <sheetViews>
    <sheetView tabSelected="1" zoomScale="172" workbookViewId="0">
      <pane xSplit="1" ySplit="1" topLeftCell="B15" activePane="bottomRight" state="frozen"/>
      <selection pane="topRight" activeCell="B1" sqref="B1"/>
      <selection pane="bottomLeft" activeCell="A2" sqref="A2"/>
      <selection pane="bottomRight" activeCell="A37" sqref="A37:XFD37"/>
    </sheetView>
  </sheetViews>
  <sheetFormatPr baseColWidth="10" defaultColWidth="12.6640625" defaultRowHeight="15.75" customHeight="1" x14ac:dyDescent="0.15"/>
  <cols>
    <col min="7" max="7" width="22.5" customWidth="1"/>
    <col min="8" max="8" width="25.6640625" customWidth="1"/>
    <col min="10" max="10" width="14.1640625" customWidth="1"/>
    <col min="13" max="13" width="40.83203125" customWidth="1"/>
    <col min="15" max="15" width="17.5" customWidth="1"/>
    <col min="19" max="19" width="27.1640625" customWidth="1"/>
    <col min="20" max="20" width="29.83203125" customWidth="1"/>
    <col min="21" max="21" width="41" customWidth="1"/>
    <col min="22" max="22" width="31.6640625" customWidth="1"/>
    <col min="23" max="23" width="38.33203125" customWidth="1"/>
    <col min="24" max="24" width="20" customWidth="1"/>
    <col min="25" max="25" width="19.83203125" customWidth="1"/>
    <col min="26" max="26" width="18.33203125" customWidth="1"/>
    <col min="27" max="27" width="25.83203125" customWidth="1"/>
    <col min="28" max="28" width="36.6640625" customWidth="1"/>
    <col min="30" max="30" width="22.5" customWidth="1"/>
    <col min="34" max="34" width="21.1640625" customWidth="1"/>
    <col min="35" max="35" width="42.5" customWidth="1"/>
  </cols>
  <sheetData>
    <row r="1" spans="1:36" ht="15.75" customHeight="1" x14ac:dyDescent="0.15">
      <c r="A1" s="22" t="s">
        <v>0</v>
      </c>
      <c r="B1" s="22" t="s">
        <v>1</v>
      </c>
      <c r="C1" s="22" t="s">
        <v>2</v>
      </c>
      <c r="D1" s="22" t="s">
        <v>3</v>
      </c>
      <c r="E1" s="22" t="s">
        <v>4</v>
      </c>
      <c r="F1" s="22" t="s">
        <v>5</v>
      </c>
      <c r="G1" s="22" t="s">
        <v>6</v>
      </c>
      <c r="H1" s="22" t="s">
        <v>7</v>
      </c>
      <c r="I1" s="22" t="s">
        <v>8</v>
      </c>
      <c r="J1" s="22" t="s">
        <v>9</v>
      </c>
      <c r="K1" s="22" t="s">
        <v>10</v>
      </c>
      <c r="L1" s="22" t="s">
        <v>11</v>
      </c>
      <c r="M1" s="22" t="s">
        <v>12</v>
      </c>
      <c r="N1" s="22" t="s">
        <v>13</v>
      </c>
      <c r="O1" s="22" t="s">
        <v>14</v>
      </c>
      <c r="P1" s="22" t="s">
        <v>15</v>
      </c>
      <c r="Q1" s="22" t="s">
        <v>16</v>
      </c>
      <c r="R1" s="22" t="s">
        <v>17</v>
      </c>
      <c r="S1" s="22" t="s">
        <v>18</v>
      </c>
      <c r="T1" s="23" t="s">
        <v>19</v>
      </c>
      <c r="U1" s="23" t="s">
        <v>20</v>
      </c>
      <c r="V1" s="23" t="s">
        <v>21</v>
      </c>
      <c r="W1" s="23" t="s">
        <v>22</v>
      </c>
      <c r="X1" s="22" t="s">
        <v>23</v>
      </c>
      <c r="Y1" s="22" t="s">
        <v>24</v>
      </c>
      <c r="Z1" s="22" t="s">
        <v>25</v>
      </c>
      <c r="AA1" s="23" t="s">
        <v>26</v>
      </c>
      <c r="AB1" s="22" t="s">
        <v>27</v>
      </c>
      <c r="AC1" s="22" t="s">
        <v>28</v>
      </c>
      <c r="AD1" s="22" t="s">
        <v>29</v>
      </c>
      <c r="AE1" s="22" t="s">
        <v>30</v>
      </c>
      <c r="AF1" s="22" t="s">
        <v>31</v>
      </c>
      <c r="AG1" s="22" t="s">
        <v>32</v>
      </c>
      <c r="AH1" s="22" t="s">
        <v>33</v>
      </c>
      <c r="AI1" s="22" t="s">
        <v>34</v>
      </c>
      <c r="AJ1" s="8"/>
    </row>
    <row r="2" spans="1:36" s="20" customFormat="1" ht="22" customHeight="1" x14ac:dyDescent="0.15">
      <c r="A2" s="1" t="s">
        <v>35</v>
      </c>
      <c r="B2" s="1" t="s">
        <v>36</v>
      </c>
      <c r="C2" s="1" t="s">
        <v>37</v>
      </c>
      <c r="D2" s="1" t="s">
        <v>38</v>
      </c>
      <c r="E2" s="1" t="s">
        <v>39</v>
      </c>
      <c r="F2" s="1" t="s">
        <v>40</v>
      </c>
      <c r="G2" s="1" t="s">
        <v>41</v>
      </c>
      <c r="H2" s="1" t="s">
        <v>42</v>
      </c>
      <c r="I2" s="1" t="s">
        <v>43</v>
      </c>
      <c r="J2" s="1" t="s">
        <v>44</v>
      </c>
      <c r="K2" s="1" t="s">
        <v>45</v>
      </c>
      <c r="L2" s="1" t="s">
        <v>46</v>
      </c>
      <c r="M2" s="1" t="s">
        <v>47</v>
      </c>
      <c r="N2" s="1" t="s">
        <v>48</v>
      </c>
      <c r="O2" s="1" t="s">
        <v>49</v>
      </c>
      <c r="P2" s="1" t="s">
        <v>50</v>
      </c>
      <c r="Q2" s="1" t="s">
        <v>51</v>
      </c>
      <c r="R2" s="1" t="s">
        <v>52</v>
      </c>
      <c r="S2" s="1" t="s">
        <v>53</v>
      </c>
      <c r="T2" s="1" t="s">
        <v>54</v>
      </c>
      <c r="U2" s="1" t="s">
        <v>55</v>
      </c>
      <c r="V2" s="1" t="s">
        <v>56</v>
      </c>
      <c r="W2" s="1" t="s">
        <v>57</v>
      </c>
      <c r="X2" s="1" t="s">
        <v>58</v>
      </c>
      <c r="Y2" s="1" t="s">
        <v>59</v>
      </c>
      <c r="Z2" s="1" t="s">
        <v>60</v>
      </c>
      <c r="AA2" s="1" t="s">
        <v>61</v>
      </c>
      <c r="AB2" s="1" t="s">
        <v>62</v>
      </c>
      <c r="AC2" s="1">
        <v>6</v>
      </c>
      <c r="AD2" s="1" t="s">
        <v>63</v>
      </c>
      <c r="AE2" s="1" t="s">
        <v>44</v>
      </c>
      <c r="AF2" s="1" t="s">
        <v>44</v>
      </c>
      <c r="AG2" s="1" t="s">
        <v>64</v>
      </c>
      <c r="AH2" s="1" t="s">
        <v>65</v>
      </c>
      <c r="AI2" s="1" t="s">
        <v>62</v>
      </c>
      <c r="AJ2" s="1"/>
    </row>
    <row r="3" spans="1:36" s="20" customFormat="1" ht="22" customHeight="1" x14ac:dyDescent="0.15">
      <c r="A3" s="1" t="s">
        <v>66</v>
      </c>
      <c r="B3" s="1" t="s">
        <v>36</v>
      </c>
      <c r="C3" s="1" t="s">
        <v>67</v>
      </c>
      <c r="D3" s="1" t="s">
        <v>68</v>
      </c>
      <c r="E3" s="1" t="s">
        <v>69</v>
      </c>
      <c r="F3" s="1" t="s">
        <v>70</v>
      </c>
      <c r="G3" s="1" t="s">
        <v>71</v>
      </c>
      <c r="H3" s="1" t="s">
        <v>42</v>
      </c>
      <c r="I3" s="1" t="s">
        <v>43</v>
      </c>
      <c r="J3" s="1" t="s">
        <v>44</v>
      </c>
      <c r="K3" s="1" t="s">
        <v>46</v>
      </c>
      <c r="L3" s="1" t="s">
        <v>72</v>
      </c>
      <c r="M3" s="1" t="s">
        <v>73</v>
      </c>
      <c r="N3" s="1" t="s">
        <v>74</v>
      </c>
      <c r="O3" s="1" t="s">
        <v>75</v>
      </c>
      <c r="P3" s="1" t="s">
        <v>76</v>
      </c>
      <c r="Q3" s="1" t="s">
        <v>77</v>
      </c>
      <c r="R3" s="1" t="s">
        <v>52</v>
      </c>
      <c r="S3" s="1" t="s">
        <v>78</v>
      </c>
      <c r="T3" s="1" t="s">
        <v>79</v>
      </c>
      <c r="U3" s="1" t="s">
        <v>80</v>
      </c>
      <c r="V3" s="1" t="s">
        <v>81</v>
      </c>
      <c r="W3" s="1" t="s">
        <v>82</v>
      </c>
      <c r="X3" s="1" t="s">
        <v>58</v>
      </c>
      <c r="Y3" s="1" t="s">
        <v>83</v>
      </c>
      <c r="Z3" s="1" t="s">
        <v>60</v>
      </c>
      <c r="AA3" s="1" t="s">
        <v>84</v>
      </c>
      <c r="AB3" s="1" t="s">
        <v>85</v>
      </c>
      <c r="AC3" s="1">
        <v>7</v>
      </c>
      <c r="AD3" s="1" t="s">
        <v>86</v>
      </c>
      <c r="AE3" s="1" t="s">
        <v>44</v>
      </c>
      <c r="AF3" s="1" t="s">
        <v>44</v>
      </c>
      <c r="AG3" s="1" t="s">
        <v>87</v>
      </c>
      <c r="AH3" s="1" t="s">
        <v>88</v>
      </c>
      <c r="AI3" s="1" t="s">
        <v>89</v>
      </c>
      <c r="AJ3" s="1"/>
    </row>
    <row r="4" spans="1:36" s="20" customFormat="1" ht="22" customHeight="1" x14ac:dyDescent="0.15">
      <c r="A4" s="1" t="s">
        <v>90</v>
      </c>
      <c r="B4" s="1" t="s">
        <v>36</v>
      </c>
      <c r="C4" s="1" t="s">
        <v>91</v>
      </c>
      <c r="D4" s="1" t="s">
        <v>38</v>
      </c>
      <c r="E4" s="1" t="s">
        <v>92</v>
      </c>
      <c r="F4" s="1" t="s">
        <v>93</v>
      </c>
      <c r="G4" s="1" t="s">
        <v>94</v>
      </c>
      <c r="H4" s="1" t="s">
        <v>95</v>
      </c>
      <c r="I4" s="1" t="s">
        <v>43</v>
      </c>
      <c r="J4" s="1" t="s">
        <v>44</v>
      </c>
      <c r="K4" s="1" t="s">
        <v>46</v>
      </c>
      <c r="L4" s="1" t="s">
        <v>96</v>
      </c>
      <c r="M4" s="1" t="s">
        <v>97</v>
      </c>
      <c r="N4" s="1" t="s">
        <v>98</v>
      </c>
      <c r="O4" s="1" t="s">
        <v>99</v>
      </c>
      <c r="P4" s="1" t="s">
        <v>100</v>
      </c>
      <c r="Q4" s="1" t="s">
        <v>101</v>
      </c>
      <c r="R4" s="1" t="s">
        <v>102</v>
      </c>
      <c r="S4" s="1" t="s">
        <v>103</v>
      </c>
      <c r="T4" s="1" t="s">
        <v>104</v>
      </c>
      <c r="U4" s="1" t="s">
        <v>105</v>
      </c>
      <c r="V4" s="1" t="s">
        <v>105</v>
      </c>
      <c r="W4" s="1" t="s">
        <v>105</v>
      </c>
      <c r="X4" s="1" t="s">
        <v>58</v>
      </c>
      <c r="Y4" s="1" t="s">
        <v>83</v>
      </c>
      <c r="Z4" s="1" t="s">
        <v>106</v>
      </c>
      <c r="AA4" s="1" t="s">
        <v>107</v>
      </c>
      <c r="AB4" s="1" t="s">
        <v>108</v>
      </c>
      <c r="AC4" s="1">
        <v>7</v>
      </c>
      <c r="AD4" s="1" t="s">
        <v>109</v>
      </c>
      <c r="AE4" s="1" t="s">
        <v>44</v>
      </c>
      <c r="AF4" s="1" t="s">
        <v>44</v>
      </c>
      <c r="AG4" s="1" t="s">
        <v>110</v>
      </c>
      <c r="AH4" s="1" t="s">
        <v>111</v>
      </c>
      <c r="AI4" s="1" t="s">
        <v>112</v>
      </c>
      <c r="AJ4" s="1"/>
    </row>
    <row r="5" spans="1:36" s="20" customFormat="1" ht="22" customHeight="1" x14ac:dyDescent="0.15">
      <c r="A5" s="1" t="s">
        <v>113</v>
      </c>
      <c r="B5" s="1" t="s">
        <v>36</v>
      </c>
      <c r="C5" s="1" t="s">
        <v>91</v>
      </c>
      <c r="D5" s="1" t="s">
        <v>114</v>
      </c>
      <c r="E5" s="1" t="s">
        <v>115</v>
      </c>
      <c r="F5" s="1" t="s">
        <v>116</v>
      </c>
      <c r="G5" s="1" t="s">
        <v>117</v>
      </c>
      <c r="H5" s="1" t="s">
        <v>118</v>
      </c>
      <c r="I5" s="1" t="s">
        <v>46</v>
      </c>
      <c r="J5" s="1" t="s">
        <v>44</v>
      </c>
      <c r="K5" s="1" t="s">
        <v>46</v>
      </c>
      <c r="L5" s="1" t="s">
        <v>119</v>
      </c>
      <c r="M5" s="1" t="s">
        <v>120</v>
      </c>
      <c r="N5" s="1" t="s">
        <v>101</v>
      </c>
      <c r="O5" s="1" t="s">
        <v>121</v>
      </c>
      <c r="P5" s="1" t="s">
        <v>76</v>
      </c>
      <c r="Q5" s="1" t="s">
        <v>46</v>
      </c>
      <c r="R5" s="1" t="s">
        <v>102</v>
      </c>
      <c r="S5" s="1" t="s">
        <v>122</v>
      </c>
      <c r="T5" s="1" t="s">
        <v>123</v>
      </c>
      <c r="U5" s="1" t="s">
        <v>62</v>
      </c>
      <c r="V5" s="1" t="s">
        <v>124</v>
      </c>
      <c r="W5" s="1" t="s">
        <v>125</v>
      </c>
      <c r="X5" s="1" t="s">
        <v>126</v>
      </c>
      <c r="Y5" s="1" t="s">
        <v>59</v>
      </c>
      <c r="Z5" s="1" t="s">
        <v>127</v>
      </c>
      <c r="AA5" s="1" t="s">
        <v>128</v>
      </c>
      <c r="AB5" s="1" t="s">
        <v>129</v>
      </c>
      <c r="AC5" s="1">
        <v>8</v>
      </c>
      <c r="AD5" s="1" t="s">
        <v>130</v>
      </c>
      <c r="AE5" s="1" t="s">
        <v>44</v>
      </c>
      <c r="AF5" s="1" t="s">
        <v>44</v>
      </c>
      <c r="AG5" s="1" t="s">
        <v>131</v>
      </c>
      <c r="AH5" s="1" t="s">
        <v>132</v>
      </c>
      <c r="AI5" s="1" t="s">
        <v>133</v>
      </c>
      <c r="AJ5" s="1"/>
    </row>
    <row r="6" spans="1:36" s="20" customFormat="1" ht="22" customHeight="1" x14ac:dyDescent="0.15">
      <c r="A6" s="1" t="s">
        <v>134</v>
      </c>
      <c r="B6" s="1" t="s">
        <v>135</v>
      </c>
      <c r="C6" s="1" t="s">
        <v>136</v>
      </c>
      <c r="D6" s="1" t="s">
        <v>114</v>
      </c>
      <c r="E6" s="1" t="s">
        <v>137</v>
      </c>
      <c r="F6" s="1" t="s">
        <v>116</v>
      </c>
      <c r="G6" s="1" t="s">
        <v>138</v>
      </c>
      <c r="H6" s="1" t="s">
        <v>139</v>
      </c>
      <c r="I6" s="1" t="s">
        <v>140</v>
      </c>
      <c r="J6" s="1" t="s">
        <v>44</v>
      </c>
      <c r="K6" s="1" t="s">
        <v>46</v>
      </c>
      <c r="L6" s="1" t="s">
        <v>141</v>
      </c>
      <c r="M6" s="1" t="s">
        <v>142</v>
      </c>
      <c r="N6" s="1" t="s">
        <v>143</v>
      </c>
      <c r="O6" s="1" t="s">
        <v>144</v>
      </c>
      <c r="P6" s="1" t="s">
        <v>76</v>
      </c>
      <c r="Q6" s="1" t="s">
        <v>101</v>
      </c>
      <c r="R6" s="1" t="s">
        <v>102</v>
      </c>
      <c r="S6" s="1" t="s">
        <v>145</v>
      </c>
      <c r="T6" s="1" t="s">
        <v>146</v>
      </c>
      <c r="U6" s="1" t="s">
        <v>147</v>
      </c>
      <c r="V6" s="1" t="s">
        <v>148</v>
      </c>
      <c r="W6" s="1" t="s">
        <v>149</v>
      </c>
      <c r="X6" s="1" t="s">
        <v>126</v>
      </c>
      <c r="Y6" s="1" t="s">
        <v>83</v>
      </c>
      <c r="Z6" s="1" t="s">
        <v>106</v>
      </c>
      <c r="AA6" s="1" t="s">
        <v>150</v>
      </c>
      <c r="AB6" s="1" t="s">
        <v>148</v>
      </c>
      <c r="AC6" s="1">
        <v>8</v>
      </c>
      <c r="AD6" s="1" t="s">
        <v>151</v>
      </c>
      <c r="AE6" s="1" t="s">
        <v>44</v>
      </c>
      <c r="AF6" s="1" t="s">
        <v>44</v>
      </c>
      <c r="AG6" s="1" t="s">
        <v>152</v>
      </c>
      <c r="AH6" s="1" t="s">
        <v>153</v>
      </c>
      <c r="AI6" s="1" t="s">
        <v>148</v>
      </c>
      <c r="AJ6" s="1"/>
    </row>
    <row r="7" spans="1:36" s="20" customFormat="1" ht="22" customHeight="1" x14ac:dyDescent="0.15">
      <c r="A7" s="1" t="s">
        <v>154</v>
      </c>
      <c r="B7" s="1" t="s">
        <v>135</v>
      </c>
      <c r="C7" s="1" t="s">
        <v>37</v>
      </c>
      <c r="D7" s="1" t="s">
        <v>38</v>
      </c>
      <c r="E7" s="1" t="s">
        <v>155</v>
      </c>
      <c r="F7" s="1" t="s">
        <v>93</v>
      </c>
      <c r="G7" s="1" t="s">
        <v>156</v>
      </c>
      <c r="H7" s="1" t="s">
        <v>157</v>
      </c>
      <c r="I7" s="1" t="s">
        <v>140</v>
      </c>
      <c r="J7" s="1" t="s">
        <v>158</v>
      </c>
      <c r="K7" s="1" t="s">
        <v>46</v>
      </c>
      <c r="L7" s="1" t="s">
        <v>159</v>
      </c>
      <c r="M7" s="1" t="s">
        <v>160</v>
      </c>
      <c r="N7" s="1" t="s">
        <v>98</v>
      </c>
      <c r="O7" s="1" t="s">
        <v>161</v>
      </c>
      <c r="P7" s="1" t="s">
        <v>162</v>
      </c>
      <c r="Q7" s="1" t="s">
        <v>163</v>
      </c>
      <c r="R7" s="1" t="s">
        <v>102</v>
      </c>
      <c r="S7" s="1" t="s">
        <v>164</v>
      </c>
      <c r="T7" s="1" t="s">
        <v>165</v>
      </c>
      <c r="U7" s="1" t="s">
        <v>166</v>
      </c>
      <c r="V7" s="1" t="s">
        <v>167</v>
      </c>
      <c r="W7" s="1" t="s">
        <v>168</v>
      </c>
      <c r="X7" s="1" t="s">
        <v>169</v>
      </c>
      <c r="Y7" s="1" t="s">
        <v>83</v>
      </c>
      <c r="Z7" s="1" t="s">
        <v>170</v>
      </c>
      <c r="AA7" s="1" t="s">
        <v>171</v>
      </c>
      <c r="AB7" s="1" t="s">
        <v>172</v>
      </c>
      <c r="AC7" s="1">
        <v>7</v>
      </c>
      <c r="AD7" s="1" t="s">
        <v>173</v>
      </c>
      <c r="AE7" s="1" t="s">
        <v>44</v>
      </c>
      <c r="AF7" s="1" t="s">
        <v>44</v>
      </c>
      <c r="AG7" s="1" t="s">
        <v>174</v>
      </c>
      <c r="AH7" s="1" t="s">
        <v>175</v>
      </c>
      <c r="AI7" s="1" t="s">
        <v>176</v>
      </c>
      <c r="AJ7" s="1"/>
    </row>
    <row r="8" spans="1:36" s="20" customFormat="1" ht="22" customHeight="1" x14ac:dyDescent="0.15">
      <c r="A8" s="1" t="s">
        <v>177</v>
      </c>
      <c r="B8" s="1" t="s">
        <v>36</v>
      </c>
      <c r="C8" s="1" t="s">
        <v>136</v>
      </c>
      <c r="D8" s="1" t="s">
        <v>68</v>
      </c>
      <c r="E8" s="1" t="s">
        <v>115</v>
      </c>
      <c r="F8" s="1" t="s">
        <v>116</v>
      </c>
      <c r="G8" s="1" t="s">
        <v>178</v>
      </c>
      <c r="H8" s="1" t="s">
        <v>95</v>
      </c>
      <c r="I8" s="1" t="s">
        <v>43</v>
      </c>
      <c r="J8" s="1" t="s">
        <v>44</v>
      </c>
      <c r="K8" s="1" t="s">
        <v>46</v>
      </c>
      <c r="L8" s="1" t="s">
        <v>72</v>
      </c>
      <c r="M8" s="1" t="s">
        <v>179</v>
      </c>
      <c r="N8" s="1" t="s">
        <v>143</v>
      </c>
      <c r="O8" s="1" t="s">
        <v>180</v>
      </c>
      <c r="P8" s="1" t="s">
        <v>76</v>
      </c>
      <c r="Q8" s="1" t="s">
        <v>46</v>
      </c>
      <c r="R8" s="1" t="s">
        <v>102</v>
      </c>
      <c r="S8" s="1" t="s">
        <v>181</v>
      </c>
      <c r="T8" s="1" t="s">
        <v>182</v>
      </c>
      <c r="U8" s="1" t="s">
        <v>183</v>
      </c>
      <c r="V8" s="1" t="s">
        <v>183</v>
      </c>
      <c r="W8" s="1" t="s">
        <v>184</v>
      </c>
      <c r="X8" s="1" t="s">
        <v>126</v>
      </c>
      <c r="Y8" s="1" t="s">
        <v>59</v>
      </c>
      <c r="Z8" s="1" t="s">
        <v>170</v>
      </c>
      <c r="AA8" s="1" t="s">
        <v>185</v>
      </c>
      <c r="AB8" s="1" t="s">
        <v>186</v>
      </c>
      <c r="AC8" s="1">
        <v>7</v>
      </c>
      <c r="AD8" s="1" t="s">
        <v>187</v>
      </c>
      <c r="AE8" s="1" t="s">
        <v>44</v>
      </c>
      <c r="AF8" s="1" t="s">
        <v>44</v>
      </c>
      <c r="AG8" s="1" t="s">
        <v>188</v>
      </c>
      <c r="AH8" s="1" t="s">
        <v>189</v>
      </c>
      <c r="AI8" s="1" t="s">
        <v>190</v>
      </c>
      <c r="AJ8" s="1"/>
    </row>
    <row r="9" spans="1:36" s="20" customFormat="1" ht="22" customHeight="1" x14ac:dyDescent="0.15">
      <c r="A9" s="1" t="s">
        <v>191</v>
      </c>
      <c r="B9" s="1" t="s">
        <v>135</v>
      </c>
      <c r="C9" s="1" t="s">
        <v>37</v>
      </c>
      <c r="D9" s="1" t="s">
        <v>114</v>
      </c>
      <c r="E9" s="1" t="s">
        <v>192</v>
      </c>
      <c r="F9" s="1" t="s">
        <v>93</v>
      </c>
      <c r="G9" s="1" t="s">
        <v>193</v>
      </c>
      <c r="H9" s="1" t="s">
        <v>194</v>
      </c>
      <c r="I9" s="1" t="s">
        <v>195</v>
      </c>
      <c r="J9" s="1" t="s">
        <v>158</v>
      </c>
      <c r="K9" s="1" t="s">
        <v>46</v>
      </c>
      <c r="L9" s="1" t="s">
        <v>45</v>
      </c>
      <c r="M9" s="1" t="s">
        <v>196</v>
      </c>
      <c r="N9" s="1" t="s">
        <v>101</v>
      </c>
      <c r="O9" s="1" t="s">
        <v>197</v>
      </c>
      <c r="P9" s="1" t="s">
        <v>198</v>
      </c>
      <c r="Q9" s="1" t="s">
        <v>46</v>
      </c>
      <c r="R9" s="1" t="s">
        <v>102</v>
      </c>
      <c r="S9" s="1" t="s">
        <v>199</v>
      </c>
      <c r="T9" s="1" t="s">
        <v>200</v>
      </c>
      <c r="U9" s="1" t="s">
        <v>201</v>
      </c>
      <c r="V9" s="1" t="s">
        <v>202</v>
      </c>
      <c r="W9" s="1" t="s">
        <v>203</v>
      </c>
      <c r="X9" s="1" t="s">
        <v>126</v>
      </c>
      <c r="Y9" s="1" t="s">
        <v>83</v>
      </c>
      <c r="Z9" s="1" t="s">
        <v>106</v>
      </c>
      <c r="AA9" s="1" t="s">
        <v>204</v>
      </c>
      <c r="AB9" s="1" t="s">
        <v>62</v>
      </c>
      <c r="AC9" s="1">
        <v>6</v>
      </c>
      <c r="AD9" s="1" t="s">
        <v>205</v>
      </c>
      <c r="AE9" s="1" t="s">
        <v>158</v>
      </c>
      <c r="AF9" s="1" t="s">
        <v>44</v>
      </c>
      <c r="AG9" s="1" t="s">
        <v>206</v>
      </c>
      <c r="AH9" s="1" t="s">
        <v>45</v>
      </c>
      <c r="AI9" s="1" t="s">
        <v>207</v>
      </c>
      <c r="AJ9" s="1"/>
    </row>
    <row r="10" spans="1:36" s="20" customFormat="1" ht="22" customHeight="1" x14ac:dyDescent="0.15">
      <c r="A10" s="1" t="s">
        <v>208</v>
      </c>
      <c r="B10" s="1" t="s">
        <v>135</v>
      </c>
      <c r="C10" s="1" t="s">
        <v>136</v>
      </c>
      <c r="D10" s="1" t="s">
        <v>114</v>
      </c>
      <c r="E10" s="1" t="s">
        <v>209</v>
      </c>
      <c r="F10" s="1" t="s">
        <v>116</v>
      </c>
      <c r="G10" s="1" t="s">
        <v>210</v>
      </c>
      <c r="H10" s="1" t="s">
        <v>211</v>
      </c>
      <c r="I10" s="1" t="s">
        <v>46</v>
      </c>
      <c r="J10" s="1" t="s">
        <v>158</v>
      </c>
      <c r="K10" s="1" t="s">
        <v>46</v>
      </c>
      <c r="L10" s="1" t="s">
        <v>212</v>
      </c>
      <c r="M10" s="1" t="s">
        <v>213</v>
      </c>
      <c r="N10" s="1" t="s">
        <v>46</v>
      </c>
      <c r="O10" s="1" t="s">
        <v>214</v>
      </c>
      <c r="P10" s="1" t="s">
        <v>77</v>
      </c>
      <c r="Q10" s="1" t="s">
        <v>46</v>
      </c>
      <c r="R10" s="1" t="s">
        <v>102</v>
      </c>
      <c r="S10" s="1" t="s">
        <v>215</v>
      </c>
      <c r="T10" s="1" t="s">
        <v>216</v>
      </c>
      <c r="U10" s="1" t="s">
        <v>62</v>
      </c>
      <c r="V10" s="1" t="s">
        <v>62</v>
      </c>
      <c r="W10" s="1" t="s">
        <v>217</v>
      </c>
      <c r="X10" s="1" t="s">
        <v>58</v>
      </c>
      <c r="Y10" s="1" t="s">
        <v>83</v>
      </c>
      <c r="Z10" s="1" t="s">
        <v>218</v>
      </c>
      <c r="AA10" s="1" t="s">
        <v>219</v>
      </c>
      <c r="AB10" s="1" t="s">
        <v>220</v>
      </c>
      <c r="AC10" s="1">
        <v>7</v>
      </c>
      <c r="AD10" s="1" t="s">
        <v>221</v>
      </c>
      <c r="AE10" s="1" t="s">
        <v>44</v>
      </c>
      <c r="AF10" s="1" t="s">
        <v>44</v>
      </c>
      <c r="AG10" s="1" t="s">
        <v>222</v>
      </c>
      <c r="AH10" s="1" t="s">
        <v>223</v>
      </c>
      <c r="AI10" s="1" t="s">
        <v>62</v>
      </c>
      <c r="AJ10" s="1"/>
    </row>
    <row r="11" spans="1:36" s="20" customFormat="1" ht="22" customHeight="1" x14ac:dyDescent="0.15">
      <c r="A11" s="1" t="s">
        <v>224</v>
      </c>
      <c r="B11" s="1" t="s">
        <v>36</v>
      </c>
      <c r="C11" s="1" t="s">
        <v>136</v>
      </c>
      <c r="D11" s="1" t="s">
        <v>38</v>
      </c>
      <c r="E11" s="1" t="s">
        <v>225</v>
      </c>
      <c r="F11" s="1" t="s">
        <v>93</v>
      </c>
      <c r="G11" s="1" t="s">
        <v>226</v>
      </c>
      <c r="H11" s="1" t="s">
        <v>227</v>
      </c>
      <c r="I11" s="1" t="s">
        <v>141</v>
      </c>
      <c r="J11" s="1" t="s">
        <v>158</v>
      </c>
      <c r="K11" s="1" t="s">
        <v>46</v>
      </c>
      <c r="L11" s="1" t="s">
        <v>228</v>
      </c>
      <c r="M11" s="1" t="s">
        <v>229</v>
      </c>
      <c r="N11" s="1" t="s">
        <v>98</v>
      </c>
      <c r="O11" s="1" t="s">
        <v>230</v>
      </c>
      <c r="P11" s="1" t="s">
        <v>231</v>
      </c>
      <c r="Q11" s="1" t="s">
        <v>52</v>
      </c>
      <c r="R11" s="1" t="s">
        <v>102</v>
      </c>
      <c r="S11" s="1" t="s">
        <v>232</v>
      </c>
      <c r="T11" s="1" t="s">
        <v>233</v>
      </c>
      <c r="U11" s="1" t="s">
        <v>234</v>
      </c>
      <c r="V11" s="1" t="s">
        <v>235</v>
      </c>
      <c r="W11" s="1" t="s">
        <v>236</v>
      </c>
      <c r="X11" s="1" t="s">
        <v>126</v>
      </c>
      <c r="Y11" s="1" t="s">
        <v>83</v>
      </c>
      <c r="Z11" s="1" t="s">
        <v>106</v>
      </c>
      <c r="AA11" s="1" t="s">
        <v>237</v>
      </c>
      <c r="AB11" s="1" t="s">
        <v>238</v>
      </c>
      <c r="AC11" s="1">
        <v>7</v>
      </c>
      <c r="AD11" s="1" t="s">
        <v>239</v>
      </c>
      <c r="AE11" s="1" t="s">
        <v>44</v>
      </c>
      <c r="AF11" s="1" t="s">
        <v>44</v>
      </c>
      <c r="AG11" s="1" t="s">
        <v>240</v>
      </c>
      <c r="AH11" s="1" t="s">
        <v>241</v>
      </c>
      <c r="AI11" s="1" t="s">
        <v>242</v>
      </c>
      <c r="AJ11" s="1"/>
    </row>
    <row r="12" spans="1:36" s="20" customFormat="1" ht="22" customHeight="1" x14ac:dyDescent="0.15">
      <c r="A12" s="1" t="s">
        <v>243</v>
      </c>
      <c r="B12" s="1" t="s">
        <v>36</v>
      </c>
      <c r="C12" s="1" t="s">
        <v>91</v>
      </c>
      <c r="D12" s="1" t="s">
        <v>68</v>
      </c>
      <c r="E12" s="1" t="s">
        <v>244</v>
      </c>
      <c r="F12" s="1" t="s">
        <v>116</v>
      </c>
      <c r="G12" s="1" t="s">
        <v>245</v>
      </c>
      <c r="H12" s="1" t="s">
        <v>42</v>
      </c>
      <c r="I12" s="1" t="s">
        <v>195</v>
      </c>
      <c r="J12" s="1" t="s">
        <v>44</v>
      </c>
      <c r="K12" s="1" t="s">
        <v>46</v>
      </c>
      <c r="L12" s="1" t="s">
        <v>45</v>
      </c>
      <c r="M12" s="1" t="s">
        <v>246</v>
      </c>
      <c r="N12" s="1" t="s">
        <v>101</v>
      </c>
      <c r="O12" s="1" t="s">
        <v>247</v>
      </c>
      <c r="P12" s="1" t="s">
        <v>76</v>
      </c>
      <c r="Q12" s="1" t="s">
        <v>46</v>
      </c>
      <c r="R12" s="1" t="s">
        <v>102</v>
      </c>
      <c r="S12" s="1" t="s">
        <v>248</v>
      </c>
      <c r="T12" s="1" t="s">
        <v>249</v>
      </c>
      <c r="U12" s="1" t="s">
        <v>158</v>
      </c>
      <c r="V12" s="1" t="s">
        <v>250</v>
      </c>
      <c r="W12" s="1" t="s">
        <v>158</v>
      </c>
      <c r="X12" s="1" t="s">
        <v>251</v>
      </c>
      <c r="Y12" s="1" t="s">
        <v>83</v>
      </c>
      <c r="Z12" s="1" t="s">
        <v>60</v>
      </c>
      <c r="AA12" s="1" t="s">
        <v>252</v>
      </c>
      <c r="AB12" s="1" t="s">
        <v>253</v>
      </c>
      <c r="AC12" s="1">
        <v>3</v>
      </c>
      <c r="AD12" s="1" t="s">
        <v>254</v>
      </c>
      <c r="AE12" s="1" t="s">
        <v>44</v>
      </c>
      <c r="AF12" s="1" t="s">
        <v>158</v>
      </c>
      <c r="AG12" s="1" t="s">
        <v>255</v>
      </c>
      <c r="AH12" s="1" t="s">
        <v>256</v>
      </c>
      <c r="AI12" s="1" t="s">
        <v>148</v>
      </c>
      <c r="AJ12" s="1"/>
    </row>
    <row r="13" spans="1:36" s="20" customFormat="1" ht="22" customHeight="1" x14ac:dyDescent="0.15">
      <c r="A13" s="1" t="s">
        <v>257</v>
      </c>
      <c r="B13" s="1" t="s">
        <v>135</v>
      </c>
      <c r="C13" s="1" t="s">
        <v>67</v>
      </c>
      <c r="D13" s="1" t="s">
        <v>114</v>
      </c>
      <c r="E13" s="1" t="s">
        <v>258</v>
      </c>
      <c r="F13" s="1" t="s">
        <v>70</v>
      </c>
      <c r="G13" s="1" t="s">
        <v>259</v>
      </c>
      <c r="H13" s="1" t="s">
        <v>260</v>
      </c>
      <c r="I13" s="1" t="s">
        <v>46</v>
      </c>
      <c r="J13" s="1" t="s">
        <v>158</v>
      </c>
      <c r="K13" s="1" t="s">
        <v>46</v>
      </c>
      <c r="L13" s="1" t="s">
        <v>159</v>
      </c>
      <c r="M13" s="1" t="s">
        <v>261</v>
      </c>
      <c r="N13" s="1" t="s">
        <v>143</v>
      </c>
      <c r="O13" s="1" t="s">
        <v>262</v>
      </c>
      <c r="P13" s="1" t="s">
        <v>77</v>
      </c>
      <c r="Q13" s="1" t="s">
        <v>101</v>
      </c>
      <c r="R13" s="1" t="s">
        <v>263</v>
      </c>
      <c r="S13" s="1" t="s">
        <v>264</v>
      </c>
      <c r="T13" s="1" t="s">
        <v>123</v>
      </c>
      <c r="U13" s="1" t="s">
        <v>148</v>
      </c>
      <c r="V13" s="1" t="s">
        <v>265</v>
      </c>
      <c r="W13" s="1" t="s">
        <v>266</v>
      </c>
      <c r="X13" s="1" t="s">
        <v>58</v>
      </c>
      <c r="Y13" s="1" t="s">
        <v>83</v>
      </c>
      <c r="Z13" s="1" t="s">
        <v>267</v>
      </c>
      <c r="AA13" s="1" t="s">
        <v>268</v>
      </c>
      <c r="AB13" s="1" t="s">
        <v>148</v>
      </c>
      <c r="AC13" s="1">
        <v>6</v>
      </c>
      <c r="AD13" s="1" t="s">
        <v>269</v>
      </c>
      <c r="AE13" s="1" t="s">
        <v>44</v>
      </c>
      <c r="AF13" s="1" t="s">
        <v>158</v>
      </c>
      <c r="AG13" s="1" t="s">
        <v>270</v>
      </c>
      <c r="AH13" s="1" t="s">
        <v>271</v>
      </c>
      <c r="AI13" s="1" t="s">
        <v>272</v>
      </c>
      <c r="AJ13" s="1"/>
    </row>
    <row r="14" spans="1:36" s="20" customFormat="1" ht="22" customHeight="1" x14ac:dyDescent="0.15">
      <c r="A14" s="1" t="s">
        <v>273</v>
      </c>
      <c r="B14" s="1" t="s">
        <v>135</v>
      </c>
      <c r="C14" s="1" t="s">
        <v>37</v>
      </c>
      <c r="D14" s="1" t="s">
        <v>68</v>
      </c>
      <c r="E14" s="1" t="s">
        <v>274</v>
      </c>
      <c r="F14" s="1" t="s">
        <v>93</v>
      </c>
      <c r="G14" s="1" t="s">
        <v>275</v>
      </c>
      <c r="H14" s="1" t="s">
        <v>276</v>
      </c>
      <c r="I14" s="1" t="s">
        <v>43</v>
      </c>
      <c r="J14" s="1" t="s">
        <v>44</v>
      </c>
      <c r="K14" s="1" t="s">
        <v>46</v>
      </c>
      <c r="L14" s="1" t="s">
        <v>141</v>
      </c>
      <c r="M14" s="1" t="s">
        <v>277</v>
      </c>
      <c r="N14" s="1" t="s">
        <v>228</v>
      </c>
      <c r="O14" s="1" t="s">
        <v>278</v>
      </c>
      <c r="P14" s="1" t="s">
        <v>76</v>
      </c>
      <c r="Q14" s="1" t="s">
        <v>263</v>
      </c>
      <c r="R14" s="1" t="s">
        <v>102</v>
      </c>
      <c r="S14" s="1" t="s">
        <v>279</v>
      </c>
      <c r="T14" s="1" t="s">
        <v>280</v>
      </c>
      <c r="U14" s="1" t="s">
        <v>62</v>
      </c>
      <c r="V14" s="1" t="s">
        <v>281</v>
      </c>
      <c r="W14" s="1" t="s">
        <v>282</v>
      </c>
      <c r="X14" s="1" t="s">
        <v>169</v>
      </c>
      <c r="Y14" s="1" t="s">
        <v>83</v>
      </c>
      <c r="Z14" s="1" t="s">
        <v>106</v>
      </c>
      <c r="AA14" s="1" t="s">
        <v>283</v>
      </c>
      <c r="AB14" s="1" t="s">
        <v>284</v>
      </c>
      <c r="AC14" s="1">
        <v>5</v>
      </c>
      <c r="AD14" s="1" t="s">
        <v>285</v>
      </c>
      <c r="AE14" s="1" t="s">
        <v>158</v>
      </c>
      <c r="AF14" s="1" t="s">
        <v>44</v>
      </c>
      <c r="AG14" s="1" t="s">
        <v>286</v>
      </c>
      <c r="AH14" s="1" t="s">
        <v>287</v>
      </c>
      <c r="AI14" s="1" t="s">
        <v>288</v>
      </c>
      <c r="AJ14" s="1"/>
    </row>
    <row r="15" spans="1:36" s="20" customFormat="1" ht="22" customHeight="1" x14ac:dyDescent="0.15">
      <c r="A15" s="1" t="s">
        <v>289</v>
      </c>
      <c r="B15" s="1" t="s">
        <v>135</v>
      </c>
      <c r="C15" s="1" t="s">
        <v>136</v>
      </c>
      <c r="D15" s="1" t="s">
        <v>38</v>
      </c>
      <c r="E15" s="1" t="s">
        <v>290</v>
      </c>
      <c r="F15" s="1" t="s">
        <v>116</v>
      </c>
      <c r="G15" s="1" t="s">
        <v>291</v>
      </c>
      <c r="H15" s="1" t="s">
        <v>292</v>
      </c>
      <c r="I15" s="1" t="s">
        <v>43</v>
      </c>
      <c r="J15" s="1" t="s">
        <v>44</v>
      </c>
      <c r="K15" s="1" t="s">
        <v>46</v>
      </c>
      <c r="L15" s="1" t="s">
        <v>48</v>
      </c>
      <c r="M15" s="1" t="s">
        <v>293</v>
      </c>
      <c r="N15" s="1" t="s">
        <v>45</v>
      </c>
      <c r="O15" s="1" t="s">
        <v>294</v>
      </c>
      <c r="P15" s="1" t="s">
        <v>76</v>
      </c>
      <c r="Q15" s="1" t="s">
        <v>46</v>
      </c>
      <c r="R15" s="1" t="s">
        <v>102</v>
      </c>
      <c r="S15" s="1" t="s">
        <v>295</v>
      </c>
      <c r="T15" s="1" t="s">
        <v>296</v>
      </c>
      <c r="U15" s="1" t="s">
        <v>297</v>
      </c>
      <c r="V15" s="1" t="s">
        <v>298</v>
      </c>
      <c r="W15" s="1" t="s">
        <v>148</v>
      </c>
      <c r="X15" s="1" t="s">
        <v>126</v>
      </c>
      <c r="Y15" s="1" t="s">
        <v>83</v>
      </c>
      <c r="Z15" s="1" t="s">
        <v>106</v>
      </c>
      <c r="AA15" s="1" t="s">
        <v>219</v>
      </c>
      <c r="AB15" s="1" t="s">
        <v>299</v>
      </c>
      <c r="AC15" s="1">
        <v>8</v>
      </c>
      <c r="AD15" s="1" t="s">
        <v>300</v>
      </c>
      <c r="AE15" s="1" t="s">
        <v>44</v>
      </c>
      <c r="AF15" s="1" t="s">
        <v>44</v>
      </c>
      <c r="AG15" s="1" t="s">
        <v>301</v>
      </c>
      <c r="AH15" s="1" t="s">
        <v>302</v>
      </c>
      <c r="AI15" s="1" t="s">
        <v>303</v>
      </c>
      <c r="AJ15" s="1"/>
    </row>
    <row r="16" spans="1:36" s="20" customFormat="1" ht="22" customHeight="1" x14ac:dyDescent="0.15">
      <c r="A16" s="1" t="s">
        <v>304</v>
      </c>
      <c r="B16" s="1" t="s">
        <v>36</v>
      </c>
      <c r="C16" s="1" t="s">
        <v>67</v>
      </c>
      <c r="D16" s="1" t="s">
        <v>38</v>
      </c>
      <c r="E16" s="1" t="s">
        <v>305</v>
      </c>
      <c r="F16" s="1" t="s">
        <v>93</v>
      </c>
      <c r="G16" s="1" t="s">
        <v>306</v>
      </c>
      <c r="H16" s="1" t="s">
        <v>307</v>
      </c>
      <c r="I16" s="1" t="s">
        <v>308</v>
      </c>
      <c r="J16" s="1" t="s">
        <v>44</v>
      </c>
      <c r="K16" s="1" t="s">
        <v>46</v>
      </c>
      <c r="L16" s="1" t="s">
        <v>309</v>
      </c>
      <c r="M16" s="1" t="s">
        <v>310</v>
      </c>
      <c r="N16" s="1" t="s">
        <v>143</v>
      </c>
      <c r="O16" s="1" t="s">
        <v>311</v>
      </c>
      <c r="P16" s="1" t="s">
        <v>76</v>
      </c>
      <c r="Q16" s="1" t="s">
        <v>77</v>
      </c>
      <c r="R16" s="1" t="s">
        <v>163</v>
      </c>
      <c r="S16" s="1" t="s">
        <v>312</v>
      </c>
      <c r="T16" s="1" t="s">
        <v>313</v>
      </c>
      <c r="U16" s="2" t="s">
        <v>314</v>
      </c>
      <c r="V16" s="1" t="s">
        <v>315</v>
      </c>
      <c r="W16" s="1" t="s">
        <v>316</v>
      </c>
      <c r="X16" s="1" t="s">
        <v>126</v>
      </c>
      <c r="Y16" s="1" t="s">
        <v>317</v>
      </c>
      <c r="Z16" s="1" t="s">
        <v>60</v>
      </c>
      <c r="AA16" s="1" t="s">
        <v>318</v>
      </c>
      <c r="AB16" s="1" t="s">
        <v>319</v>
      </c>
      <c r="AC16" s="1">
        <v>7</v>
      </c>
      <c r="AD16" s="1" t="s">
        <v>320</v>
      </c>
      <c r="AE16" s="1" t="s">
        <v>44</v>
      </c>
      <c r="AF16" s="1" t="s">
        <v>44</v>
      </c>
      <c r="AG16" s="1" t="s">
        <v>321</v>
      </c>
      <c r="AH16" s="1" t="s">
        <v>322</v>
      </c>
      <c r="AI16" s="1" t="s">
        <v>323</v>
      </c>
      <c r="AJ16" s="1"/>
    </row>
    <row r="17" spans="1:36" s="20" customFormat="1" ht="22" customHeight="1" x14ac:dyDescent="0.15">
      <c r="A17" s="1" t="s">
        <v>324</v>
      </c>
      <c r="B17" s="1" t="s">
        <v>36</v>
      </c>
      <c r="C17" s="1" t="s">
        <v>67</v>
      </c>
      <c r="D17" s="1" t="s">
        <v>38</v>
      </c>
      <c r="E17" s="1" t="s">
        <v>325</v>
      </c>
      <c r="F17" s="1" t="s">
        <v>70</v>
      </c>
      <c r="G17" s="1" t="s">
        <v>326</v>
      </c>
      <c r="H17" s="1" t="s">
        <v>42</v>
      </c>
      <c r="I17" s="1" t="s">
        <v>140</v>
      </c>
      <c r="J17" s="1" t="s">
        <v>44</v>
      </c>
      <c r="K17" s="1" t="s">
        <v>46</v>
      </c>
      <c r="L17" s="1" t="s">
        <v>308</v>
      </c>
      <c r="M17" s="1" t="s">
        <v>327</v>
      </c>
      <c r="N17" s="1" t="s">
        <v>101</v>
      </c>
      <c r="O17" s="1" t="s">
        <v>328</v>
      </c>
      <c r="P17" s="1" t="s">
        <v>76</v>
      </c>
      <c r="Q17" s="1" t="s">
        <v>102</v>
      </c>
      <c r="R17" s="1" t="s">
        <v>51</v>
      </c>
      <c r="S17" s="1" t="s">
        <v>329</v>
      </c>
      <c r="T17" s="1" t="s">
        <v>330</v>
      </c>
      <c r="U17" s="1" t="s">
        <v>331</v>
      </c>
      <c r="V17" s="1" t="s">
        <v>62</v>
      </c>
      <c r="W17" s="1" t="s">
        <v>332</v>
      </c>
      <c r="X17" s="1" t="s">
        <v>126</v>
      </c>
      <c r="Y17" s="1" t="s">
        <v>317</v>
      </c>
      <c r="Z17" s="1" t="s">
        <v>170</v>
      </c>
      <c r="AA17" s="1" t="s">
        <v>333</v>
      </c>
      <c r="AB17" s="1" t="s">
        <v>334</v>
      </c>
      <c r="AC17" s="1">
        <v>6</v>
      </c>
      <c r="AD17" s="1" t="s">
        <v>335</v>
      </c>
      <c r="AE17" s="1" t="s">
        <v>44</v>
      </c>
      <c r="AF17" s="1" t="s">
        <v>158</v>
      </c>
      <c r="AG17" s="1" t="s">
        <v>336</v>
      </c>
      <c r="AH17" s="1" t="s">
        <v>337</v>
      </c>
      <c r="AI17" s="1" t="s">
        <v>338</v>
      </c>
      <c r="AJ17" s="1"/>
    </row>
    <row r="18" spans="1:36" s="20" customFormat="1" ht="22" customHeight="1" x14ac:dyDescent="0.15">
      <c r="A18" s="1" t="s">
        <v>339</v>
      </c>
      <c r="B18" s="1" t="s">
        <v>36</v>
      </c>
      <c r="C18" s="1" t="s">
        <v>340</v>
      </c>
      <c r="D18" s="1" t="s">
        <v>114</v>
      </c>
      <c r="E18" s="1" t="s">
        <v>341</v>
      </c>
      <c r="F18" s="1" t="s">
        <v>70</v>
      </c>
      <c r="G18" s="1" t="s">
        <v>342</v>
      </c>
      <c r="H18" s="1" t="s">
        <v>343</v>
      </c>
      <c r="I18" s="1" t="s">
        <v>344</v>
      </c>
      <c r="J18" s="1" t="s">
        <v>44</v>
      </c>
      <c r="K18" s="1" t="s">
        <v>46</v>
      </c>
      <c r="L18" s="1" t="s">
        <v>45</v>
      </c>
      <c r="M18" s="1" t="s">
        <v>345</v>
      </c>
      <c r="N18" s="1" t="s">
        <v>346</v>
      </c>
      <c r="O18" s="1" t="s">
        <v>347</v>
      </c>
      <c r="P18" s="1" t="s">
        <v>348</v>
      </c>
      <c r="Q18" s="1" t="s">
        <v>46</v>
      </c>
      <c r="R18" s="1" t="s">
        <v>102</v>
      </c>
      <c r="S18" s="1" t="s">
        <v>349</v>
      </c>
      <c r="T18" s="1" t="s">
        <v>350</v>
      </c>
      <c r="U18" s="1" t="s">
        <v>148</v>
      </c>
      <c r="V18" s="1" t="s">
        <v>351</v>
      </c>
      <c r="W18" s="1" t="s">
        <v>352</v>
      </c>
      <c r="X18" s="1" t="s">
        <v>126</v>
      </c>
      <c r="Y18" s="1" t="s">
        <v>83</v>
      </c>
      <c r="Z18" s="1" t="s">
        <v>170</v>
      </c>
      <c r="AA18" s="1" t="s">
        <v>353</v>
      </c>
      <c r="AB18" s="1" t="s">
        <v>148</v>
      </c>
      <c r="AC18" s="1">
        <v>6</v>
      </c>
      <c r="AD18" s="1" t="s">
        <v>354</v>
      </c>
      <c r="AE18" s="1" t="s">
        <v>44</v>
      </c>
      <c r="AF18" s="1" t="s">
        <v>44</v>
      </c>
      <c r="AG18" s="1" t="s">
        <v>355</v>
      </c>
      <c r="AH18" s="1" t="s">
        <v>45</v>
      </c>
      <c r="AI18" s="1" t="s">
        <v>356</v>
      </c>
      <c r="AJ18" s="1"/>
    </row>
    <row r="19" spans="1:36" s="20" customFormat="1" ht="22" customHeight="1" x14ac:dyDescent="0.15">
      <c r="A19" s="1" t="s">
        <v>357</v>
      </c>
      <c r="B19" s="1" t="s">
        <v>36</v>
      </c>
      <c r="C19" s="1" t="s">
        <v>136</v>
      </c>
      <c r="D19" s="1" t="s">
        <v>114</v>
      </c>
      <c r="E19" s="1" t="s">
        <v>358</v>
      </c>
      <c r="F19" s="1" t="s">
        <v>93</v>
      </c>
      <c r="G19" s="1" t="s">
        <v>359</v>
      </c>
      <c r="H19" s="1" t="s">
        <v>360</v>
      </c>
      <c r="I19" s="1" t="s">
        <v>361</v>
      </c>
      <c r="J19" s="1" t="s">
        <v>158</v>
      </c>
      <c r="K19" s="1" t="s">
        <v>46</v>
      </c>
      <c r="L19" s="1" t="s">
        <v>143</v>
      </c>
      <c r="M19" s="1" t="s">
        <v>362</v>
      </c>
      <c r="N19" s="1" t="s">
        <v>228</v>
      </c>
      <c r="O19" s="1" t="s">
        <v>363</v>
      </c>
      <c r="P19" s="1" t="s">
        <v>364</v>
      </c>
      <c r="Q19" s="1" t="s">
        <v>46</v>
      </c>
      <c r="R19" s="1" t="s">
        <v>163</v>
      </c>
      <c r="S19" s="1" t="s">
        <v>365</v>
      </c>
      <c r="T19" s="1" t="s">
        <v>366</v>
      </c>
      <c r="U19" s="1" t="s">
        <v>367</v>
      </c>
      <c r="V19" s="1" t="s">
        <v>368</v>
      </c>
      <c r="W19" s="1" t="s">
        <v>369</v>
      </c>
      <c r="X19" s="1" t="s">
        <v>58</v>
      </c>
      <c r="Y19" s="1" t="s">
        <v>83</v>
      </c>
      <c r="Z19" s="1" t="s">
        <v>106</v>
      </c>
      <c r="AA19" s="1" t="s">
        <v>370</v>
      </c>
      <c r="AB19" s="1" t="s">
        <v>371</v>
      </c>
      <c r="AC19" s="1">
        <v>6</v>
      </c>
      <c r="AD19" s="1" t="s">
        <v>372</v>
      </c>
      <c r="AE19" s="1" t="s">
        <v>44</v>
      </c>
      <c r="AF19" s="1" t="s">
        <v>44</v>
      </c>
      <c r="AG19" s="1" t="s">
        <v>131</v>
      </c>
      <c r="AH19" s="1" t="s">
        <v>45</v>
      </c>
      <c r="AI19" s="1" t="s">
        <v>373</v>
      </c>
      <c r="AJ19" s="1"/>
    </row>
    <row r="20" spans="1:36" s="20" customFormat="1" ht="22" customHeight="1" x14ac:dyDescent="0.15">
      <c r="A20" s="1" t="s">
        <v>374</v>
      </c>
      <c r="B20" s="1" t="s">
        <v>135</v>
      </c>
      <c r="C20" s="1" t="s">
        <v>375</v>
      </c>
      <c r="D20" s="1" t="s">
        <v>114</v>
      </c>
      <c r="E20" s="1" t="s">
        <v>376</v>
      </c>
      <c r="F20" s="1" t="s">
        <v>93</v>
      </c>
      <c r="G20" s="1" t="s">
        <v>377</v>
      </c>
      <c r="H20" s="1" t="s">
        <v>378</v>
      </c>
      <c r="I20" s="1" t="s">
        <v>195</v>
      </c>
      <c r="J20" s="1" t="s">
        <v>158</v>
      </c>
      <c r="K20" s="1" t="s">
        <v>46</v>
      </c>
      <c r="L20" s="1" t="s">
        <v>379</v>
      </c>
      <c r="M20" s="1" t="s">
        <v>380</v>
      </c>
      <c r="N20" s="1" t="s">
        <v>98</v>
      </c>
      <c r="O20" s="1" t="s">
        <v>381</v>
      </c>
      <c r="P20" s="1" t="s">
        <v>102</v>
      </c>
      <c r="Q20" s="1" t="s">
        <v>101</v>
      </c>
      <c r="R20" s="1" t="s">
        <v>51</v>
      </c>
      <c r="S20" s="1" t="s">
        <v>382</v>
      </c>
      <c r="T20" s="1" t="s">
        <v>383</v>
      </c>
      <c r="U20" s="1" t="s">
        <v>384</v>
      </c>
      <c r="V20" s="1" t="s">
        <v>385</v>
      </c>
      <c r="W20" s="1" t="s">
        <v>386</v>
      </c>
      <c r="X20" s="1" t="s">
        <v>387</v>
      </c>
      <c r="Y20" s="1" t="s">
        <v>83</v>
      </c>
      <c r="Z20" s="1" t="s">
        <v>60</v>
      </c>
      <c r="AA20" s="1" t="s">
        <v>388</v>
      </c>
      <c r="AB20" s="1" t="s">
        <v>389</v>
      </c>
      <c r="AC20" s="1">
        <v>7</v>
      </c>
      <c r="AD20" s="1" t="s">
        <v>390</v>
      </c>
      <c r="AE20" s="1" t="s">
        <v>44</v>
      </c>
      <c r="AF20" s="1" t="s">
        <v>158</v>
      </c>
      <c r="AG20" s="1" t="s">
        <v>391</v>
      </c>
      <c r="AH20" s="1" t="s">
        <v>392</v>
      </c>
      <c r="AI20" s="1" t="s">
        <v>393</v>
      </c>
      <c r="AJ20" s="1"/>
    </row>
    <row r="21" spans="1:36" s="20" customFormat="1" ht="22" customHeight="1" x14ac:dyDescent="0.15">
      <c r="A21" s="1" t="s">
        <v>394</v>
      </c>
      <c r="B21" s="1" t="s">
        <v>135</v>
      </c>
      <c r="C21" s="1" t="s">
        <v>136</v>
      </c>
      <c r="D21" s="1" t="s">
        <v>114</v>
      </c>
      <c r="E21" s="1" t="s">
        <v>395</v>
      </c>
      <c r="F21" s="1" t="s">
        <v>116</v>
      </c>
      <c r="G21" s="1" t="s">
        <v>396</v>
      </c>
      <c r="H21" s="1" t="s">
        <v>397</v>
      </c>
      <c r="I21" s="1" t="s">
        <v>398</v>
      </c>
      <c r="J21" s="1" t="s">
        <v>158</v>
      </c>
      <c r="K21" s="1" t="s">
        <v>46</v>
      </c>
      <c r="L21" s="1" t="s">
        <v>309</v>
      </c>
      <c r="M21" s="1" t="s">
        <v>399</v>
      </c>
      <c r="N21" s="1" t="s">
        <v>143</v>
      </c>
      <c r="O21" s="1" t="s">
        <v>400</v>
      </c>
      <c r="P21" s="1" t="s">
        <v>77</v>
      </c>
      <c r="Q21" s="1" t="s">
        <v>101</v>
      </c>
      <c r="R21" s="1" t="s">
        <v>102</v>
      </c>
      <c r="S21" s="1" t="s">
        <v>401</v>
      </c>
      <c r="T21" s="1" t="s">
        <v>402</v>
      </c>
      <c r="U21" s="1" t="s">
        <v>403</v>
      </c>
      <c r="V21" s="1" t="s">
        <v>148</v>
      </c>
      <c r="W21" s="1" t="s">
        <v>404</v>
      </c>
      <c r="X21" s="1" t="s">
        <v>169</v>
      </c>
      <c r="Y21" s="1" t="s">
        <v>83</v>
      </c>
      <c r="Z21" s="1" t="s">
        <v>405</v>
      </c>
      <c r="AA21" s="1" t="s">
        <v>406</v>
      </c>
      <c r="AB21" s="1" t="s">
        <v>407</v>
      </c>
      <c r="AC21" s="1">
        <v>8</v>
      </c>
      <c r="AD21" s="1" t="s">
        <v>408</v>
      </c>
      <c r="AE21" s="1" t="s">
        <v>44</v>
      </c>
      <c r="AF21" s="1" t="s">
        <v>44</v>
      </c>
      <c r="AG21" s="1" t="s">
        <v>409</v>
      </c>
      <c r="AH21" s="1" t="s">
        <v>410</v>
      </c>
      <c r="AI21" s="1" t="s">
        <v>411</v>
      </c>
      <c r="AJ21" s="1"/>
    </row>
    <row r="22" spans="1:36" s="20" customFormat="1" ht="22" customHeight="1" x14ac:dyDescent="0.15">
      <c r="A22" s="1" t="s">
        <v>412</v>
      </c>
      <c r="B22" s="1" t="s">
        <v>36</v>
      </c>
      <c r="C22" s="1" t="s">
        <v>340</v>
      </c>
      <c r="D22" s="1" t="s">
        <v>68</v>
      </c>
      <c r="E22" s="1" t="s">
        <v>413</v>
      </c>
      <c r="F22" s="1" t="s">
        <v>93</v>
      </c>
      <c r="G22" s="1" t="s">
        <v>414</v>
      </c>
      <c r="H22" s="1" t="s">
        <v>227</v>
      </c>
      <c r="I22" s="1" t="s">
        <v>46</v>
      </c>
      <c r="J22" s="1" t="s">
        <v>44</v>
      </c>
      <c r="K22" s="1" t="s">
        <v>46</v>
      </c>
      <c r="L22" s="1" t="s">
        <v>45</v>
      </c>
      <c r="M22" s="1" t="s">
        <v>415</v>
      </c>
      <c r="N22" s="1" t="s">
        <v>101</v>
      </c>
      <c r="O22" s="1" t="s">
        <v>416</v>
      </c>
      <c r="P22" s="1" t="s">
        <v>76</v>
      </c>
      <c r="Q22" s="1" t="s">
        <v>46</v>
      </c>
      <c r="R22" s="1" t="s">
        <v>102</v>
      </c>
      <c r="S22" s="1" t="s">
        <v>417</v>
      </c>
      <c r="T22" s="1" t="s">
        <v>418</v>
      </c>
      <c r="U22" s="1" t="s">
        <v>419</v>
      </c>
      <c r="V22" s="1" t="s">
        <v>420</v>
      </c>
      <c r="W22" s="1" t="s">
        <v>421</v>
      </c>
      <c r="X22" s="1" t="s">
        <v>126</v>
      </c>
      <c r="Y22" s="1" t="s">
        <v>83</v>
      </c>
      <c r="Z22" s="1" t="s">
        <v>218</v>
      </c>
      <c r="AA22" s="1" t="s">
        <v>422</v>
      </c>
      <c r="AB22" s="1" t="s">
        <v>423</v>
      </c>
      <c r="AC22" s="1">
        <v>7</v>
      </c>
      <c r="AD22" s="1" t="s">
        <v>424</v>
      </c>
      <c r="AE22" s="1" t="s">
        <v>44</v>
      </c>
      <c r="AF22" s="1" t="s">
        <v>44</v>
      </c>
      <c r="AG22" s="1" t="s">
        <v>110</v>
      </c>
      <c r="AH22" s="1" t="s">
        <v>425</v>
      </c>
      <c r="AI22" s="1" t="s">
        <v>426</v>
      </c>
      <c r="AJ22" s="1"/>
    </row>
    <row r="23" spans="1:36" s="20" customFormat="1" ht="22" customHeight="1" x14ac:dyDescent="0.15">
      <c r="A23" s="1" t="s">
        <v>427</v>
      </c>
      <c r="B23" s="1" t="s">
        <v>36</v>
      </c>
      <c r="C23" s="1" t="s">
        <v>37</v>
      </c>
      <c r="D23" s="1" t="s">
        <v>38</v>
      </c>
      <c r="E23" s="1" t="s">
        <v>428</v>
      </c>
      <c r="F23" s="1" t="s">
        <v>116</v>
      </c>
      <c r="G23" s="1" t="s">
        <v>429</v>
      </c>
      <c r="H23" s="1" t="s">
        <v>343</v>
      </c>
      <c r="I23" s="1" t="s">
        <v>43</v>
      </c>
      <c r="J23" s="1" t="s">
        <v>44</v>
      </c>
      <c r="K23" s="1" t="s">
        <v>46</v>
      </c>
      <c r="L23" s="1" t="s">
        <v>48</v>
      </c>
      <c r="M23" s="1" t="s">
        <v>430</v>
      </c>
      <c r="N23" s="1" t="s">
        <v>228</v>
      </c>
      <c r="O23" s="1" t="s">
        <v>431</v>
      </c>
      <c r="P23" s="1" t="s">
        <v>76</v>
      </c>
      <c r="Q23" s="1" t="s">
        <v>51</v>
      </c>
      <c r="R23" s="1" t="s">
        <v>263</v>
      </c>
      <c r="S23" s="1" t="s">
        <v>432</v>
      </c>
      <c r="T23" s="1" t="s">
        <v>433</v>
      </c>
      <c r="U23" s="1" t="s">
        <v>298</v>
      </c>
      <c r="V23" s="1" t="s">
        <v>434</v>
      </c>
      <c r="W23" s="1" t="s">
        <v>435</v>
      </c>
      <c r="X23" s="1" t="s">
        <v>387</v>
      </c>
      <c r="Y23" s="1" t="s">
        <v>83</v>
      </c>
      <c r="Z23" s="1" t="s">
        <v>436</v>
      </c>
      <c r="AA23" s="1" t="s">
        <v>437</v>
      </c>
      <c r="AB23" s="1" t="s">
        <v>438</v>
      </c>
      <c r="AC23" s="1">
        <v>5</v>
      </c>
      <c r="AD23" s="1" t="s">
        <v>439</v>
      </c>
      <c r="AE23" s="1" t="s">
        <v>44</v>
      </c>
      <c r="AF23" s="1" t="s">
        <v>44</v>
      </c>
      <c r="AG23" s="1" t="s">
        <v>440</v>
      </c>
      <c r="AH23" s="1" t="s">
        <v>441</v>
      </c>
      <c r="AI23" s="1" t="s">
        <v>148</v>
      </c>
      <c r="AJ23" s="1"/>
    </row>
    <row r="24" spans="1:36" s="20" customFormat="1" ht="22" customHeight="1" x14ac:dyDescent="0.15">
      <c r="A24" s="1" t="s">
        <v>442</v>
      </c>
      <c r="B24" s="1" t="s">
        <v>36</v>
      </c>
      <c r="C24" s="1" t="s">
        <v>136</v>
      </c>
      <c r="D24" s="1" t="s">
        <v>114</v>
      </c>
      <c r="E24" s="1" t="s">
        <v>443</v>
      </c>
      <c r="F24" s="1" t="s">
        <v>93</v>
      </c>
      <c r="G24" s="1" t="s">
        <v>444</v>
      </c>
      <c r="H24" s="1" t="s">
        <v>445</v>
      </c>
      <c r="I24" s="1" t="s">
        <v>43</v>
      </c>
      <c r="J24" s="1" t="s">
        <v>158</v>
      </c>
      <c r="K24" s="1" t="s">
        <v>46</v>
      </c>
      <c r="L24" s="1" t="s">
        <v>48</v>
      </c>
      <c r="M24" s="1" t="s">
        <v>446</v>
      </c>
      <c r="N24" s="1" t="s">
        <v>447</v>
      </c>
      <c r="O24" s="1" t="s">
        <v>148</v>
      </c>
      <c r="P24" s="1" t="s">
        <v>76</v>
      </c>
      <c r="Q24" s="1" t="s">
        <v>101</v>
      </c>
      <c r="R24" s="1" t="s">
        <v>52</v>
      </c>
      <c r="S24" s="1" t="s">
        <v>148</v>
      </c>
      <c r="T24" s="1">
        <v>42</v>
      </c>
      <c r="U24" s="1" t="s">
        <v>148</v>
      </c>
      <c r="V24" s="1" t="s">
        <v>148</v>
      </c>
      <c r="W24" s="1" t="s">
        <v>148</v>
      </c>
      <c r="X24" s="1" t="s">
        <v>169</v>
      </c>
      <c r="Y24" s="1" t="s">
        <v>317</v>
      </c>
      <c r="Z24" s="1" t="s">
        <v>170</v>
      </c>
      <c r="AA24" s="1" t="s">
        <v>61</v>
      </c>
      <c r="AB24" s="1" t="s">
        <v>148</v>
      </c>
      <c r="AC24" s="1">
        <v>4</v>
      </c>
      <c r="AD24" s="1" t="s">
        <v>448</v>
      </c>
      <c r="AE24" s="1" t="s">
        <v>44</v>
      </c>
      <c r="AF24" s="1" t="s">
        <v>44</v>
      </c>
      <c r="AG24" s="1" t="s">
        <v>222</v>
      </c>
      <c r="AH24" s="1" t="s">
        <v>143</v>
      </c>
      <c r="AI24" s="1" t="s">
        <v>148</v>
      </c>
      <c r="AJ24" s="1"/>
    </row>
    <row r="25" spans="1:36" s="20" customFormat="1" ht="22" customHeight="1" x14ac:dyDescent="0.15">
      <c r="A25" s="1" t="s">
        <v>449</v>
      </c>
      <c r="B25" s="1" t="s">
        <v>36</v>
      </c>
      <c r="C25" s="1" t="s">
        <v>136</v>
      </c>
      <c r="D25" s="1" t="s">
        <v>114</v>
      </c>
      <c r="E25" s="1" t="s">
        <v>450</v>
      </c>
      <c r="F25" s="1" t="s">
        <v>70</v>
      </c>
      <c r="G25" s="1" t="s">
        <v>451</v>
      </c>
      <c r="H25" s="1" t="s">
        <v>452</v>
      </c>
      <c r="I25" s="1" t="s">
        <v>46</v>
      </c>
      <c r="J25" s="1" t="s">
        <v>158</v>
      </c>
      <c r="K25" s="1" t="s">
        <v>46</v>
      </c>
      <c r="L25" s="1" t="s">
        <v>143</v>
      </c>
      <c r="M25" s="1" t="s">
        <v>453</v>
      </c>
      <c r="N25" s="1" t="s">
        <v>101</v>
      </c>
      <c r="O25" s="1" t="s">
        <v>454</v>
      </c>
      <c r="P25" s="1" t="s">
        <v>76</v>
      </c>
      <c r="Q25" s="1" t="s">
        <v>455</v>
      </c>
      <c r="R25" s="1" t="s">
        <v>102</v>
      </c>
      <c r="S25" s="1" t="s">
        <v>456</v>
      </c>
      <c r="T25" s="1" t="s">
        <v>457</v>
      </c>
      <c r="U25" s="1" t="s">
        <v>458</v>
      </c>
      <c r="V25" s="1" t="s">
        <v>459</v>
      </c>
      <c r="W25" s="1" t="s">
        <v>460</v>
      </c>
      <c r="X25" s="1" t="s">
        <v>461</v>
      </c>
      <c r="Y25" s="1" t="s">
        <v>317</v>
      </c>
      <c r="Z25" s="1" t="s">
        <v>170</v>
      </c>
      <c r="AA25" s="1" t="s">
        <v>462</v>
      </c>
      <c r="AB25" s="1" t="s">
        <v>463</v>
      </c>
      <c r="AC25" s="1">
        <v>7</v>
      </c>
      <c r="AD25" s="1" t="s">
        <v>464</v>
      </c>
      <c r="AE25" s="1" t="s">
        <v>44</v>
      </c>
      <c r="AF25" s="1" t="s">
        <v>44</v>
      </c>
      <c r="AG25" s="1" t="s">
        <v>440</v>
      </c>
      <c r="AH25" s="1" t="s">
        <v>298</v>
      </c>
      <c r="AI25" s="1" t="s">
        <v>465</v>
      </c>
      <c r="AJ25" s="1"/>
    </row>
    <row r="26" spans="1:36" s="20" customFormat="1" ht="22" customHeight="1" x14ac:dyDescent="0.15">
      <c r="A26" s="1" t="s">
        <v>466</v>
      </c>
      <c r="B26" s="1" t="s">
        <v>135</v>
      </c>
      <c r="C26" s="1" t="s">
        <v>340</v>
      </c>
      <c r="D26" s="1" t="s">
        <v>467</v>
      </c>
      <c r="E26" s="1" t="s">
        <v>395</v>
      </c>
      <c r="F26" s="1" t="s">
        <v>116</v>
      </c>
      <c r="G26" s="1" t="s">
        <v>468</v>
      </c>
      <c r="H26" s="1" t="s">
        <v>469</v>
      </c>
      <c r="I26" s="1" t="s">
        <v>140</v>
      </c>
      <c r="J26" s="1" t="s">
        <v>158</v>
      </c>
      <c r="K26" s="1" t="s">
        <v>46</v>
      </c>
      <c r="L26" s="1" t="s">
        <v>45</v>
      </c>
      <c r="M26" s="1" t="s">
        <v>470</v>
      </c>
      <c r="N26" s="1" t="s">
        <v>228</v>
      </c>
      <c r="O26" s="1" t="s">
        <v>471</v>
      </c>
      <c r="P26" s="1" t="s">
        <v>76</v>
      </c>
      <c r="Q26" s="1" t="s">
        <v>46</v>
      </c>
      <c r="R26" s="1" t="s">
        <v>102</v>
      </c>
      <c r="S26" s="1" t="s">
        <v>472</v>
      </c>
      <c r="T26" s="1" t="s">
        <v>473</v>
      </c>
      <c r="U26" s="1" t="s">
        <v>62</v>
      </c>
      <c r="V26" s="1" t="s">
        <v>474</v>
      </c>
      <c r="W26" s="1" t="s">
        <v>475</v>
      </c>
      <c r="X26" s="1" t="s">
        <v>476</v>
      </c>
      <c r="Y26" s="1" t="s">
        <v>317</v>
      </c>
      <c r="Z26" s="1" t="s">
        <v>127</v>
      </c>
      <c r="AA26" s="1" t="s">
        <v>477</v>
      </c>
      <c r="AB26" s="1" t="s">
        <v>478</v>
      </c>
      <c r="AC26" s="1">
        <v>3</v>
      </c>
      <c r="AD26" s="1" t="s">
        <v>479</v>
      </c>
      <c r="AE26" s="1" t="s">
        <v>158</v>
      </c>
      <c r="AF26" s="1" t="s">
        <v>158</v>
      </c>
      <c r="AG26" s="1" t="s">
        <v>480</v>
      </c>
      <c r="AH26" s="1" t="s">
        <v>481</v>
      </c>
      <c r="AI26" s="1" t="s">
        <v>62</v>
      </c>
      <c r="AJ26" s="1"/>
    </row>
    <row r="27" spans="1:36" s="20" customFormat="1" ht="22" customHeight="1" x14ac:dyDescent="0.15">
      <c r="A27" s="1" t="s">
        <v>482</v>
      </c>
      <c r="B27" s="1" t="s">
        <v>36</v>
      </c>
      <c r="C27" s="1" t="s">
        <v>91</v>
      </c>
      <c r="D27" s="1" t="s">
        <v>114</v>
      </c>
      <c r="E27" s="1" t="s">
        <v>395</v>
      </c>
      <c r="F27" s="1" t="s">
        <v>93</v>
      </c>
      <c r="G27" s="1" t="s">
        <v>94</v>
      </c>
      <c r="H27" s="1" t="s">
        <v>483</v>
      </c>
      <c r="I27" s="1" t="s">
        <v>344</v>
      </c>
      <c r="J27" s="1" t="s">
        <v>44</v>
      </c>
      <c r="K27" s="1" t="s">
        <v>46</v>
      </c>
      <c r="L27" s="1" t="s">
        <v>45</v>
      </c>
      <c r="M27" s="1" t="s">
        <v>484</v>
      </c>
      <c r="N27" s="1" t="s">
        <v>101</v>
      </c>
      <c r="O27" s="1" t="s">
        <v>485</v>
      </c>
      <c r="P27" s="1" t="s">
        <v>77</v>
      </c>
      <c r="Q27" s="1" t="s">
        <v>51</v>
      </c>
      <c r="R27" s="1" t="s">
        <v>102</v>
      </c>
      <c r="S27" s="1" t="s">
        <v>486</v>
      </c>
      <c r="T27" s="1" t="s">
        <v>487</v>
      </c>
      <c r="U27" s="1" t="s">
        <v>158</v>
      </c>
      <c r="V27" s="1" t="s">
        <v>488</v>
      </c>
      <c r="W27" s="1" t="s">
        <v>489</v>
      </c>
      <c r="X27" s="1" t="s">
        <v>126</v>
      </c>
      <c r="Y27" s="1" t="s">
        <v>83</v>
      </c>
      <c r="Z27" s="1" t="s">
        <v>60</v>
      </c>
      <c r="AA27" s="1" t="s">
        <v>490</v>
      </c>
      <c r="AB27" s="1" t="s">
        <v>491</v>
      </c>
      <c r="AC27" s="1">
        <v>9</v>
      </c>
      <c r="AD27" s="1" t="s">
        <v>492</v>
      </c>
      <c r="AE27" s="1" t="s">
        <v>44</v>
      </c>
      <c r="AF27" s="1" t="s">
        <v>44</v>
      </c>
      <c r="AG27" s="1" t="s">
        <v>493</v>
      </c>
      <c r="AH27" s="1" t="s">
        <v>494</v>
      </c>
      <c r="AI27" s="1" t="s">
        <v>495</v>
      </c>
      <c r="AJ27" s="1"/>
    </row>
    <row r="28" spans="1:36" s="20" customFormat="1" ht="22" customHeight="1" x14ac:dyDescent="0.15">
      <c r="A28" s="1" t="s">
        <v>496</v>
      </c>
      <c r="B28" s="1" t="s">
        <v>36</v>
      </c>
      <c r="C28" s="1" t="s">
        <v>375</v>
      </c>
      <c r="D28" s="1" t="s">
        <v>38</v>
      </c>
      <c r="E28" s="1" t="s">
        <v>497</v>
      </c>
      <c r="F28" s="1" t="s">
        <v>70</v>
      </c>
      <c r="G28" s="1" t="s">
        <v>498</v>
      </c>
      <c r="H28" s="1" t="s">
        <v>118</v>
      </c>
      <c r="I28" s="1" t="s">
        <v>140</v>
      </c>
      <c r="J28" s="1" t="s">
        <v>44</v>
      </c>
      <c r="K28" s="1" t="s">
        <v>46</v>
      </c>
      <c r="L28" s="1" t="s">
        <v>159</v>
      </c>
      <c r="M28" s="1" t="s">
        <v>499</v>
      </c>
      <c r="N28" s="1" t="s">
        <v>98</v>
      </c>
      <c r="O28" s="1" t="s">
        <v>500</v>
      </c>
      <c r="P28" s="1" t="s">
        <v>76</v>
      </c>
      <c r="Q28" s="1" t="s">
        <v>77</v>
      </c>
      <c r="R28" s="1" t="s">
        <v>52</v>
      </c>
      <c r="S28" s="1" t="s">
        <v>501</v>
      </c>
      <c r="T28" s="1" t="s">
        <v>502</v>
      </c>
      <c r="U28" s="1" t="s">
        <v>503</v>
      </c>
      <c r="V28" s="1" t="s">
        <v>504</v>
      </c>
      <c r="W28" s="1" t="s">
        <v>505</v>
      </c>
      <c r="X28" s="1" t="s">
        <v>58</v>
      </c>
      <c r="Y28" s="1" t="s">
        <v>83</v>
      </c>
      <c r="Z28" s="1" t="s">
        <v>60</v>
      </c>
      <c r="AA28" s="1" t="s">
        <v>506</v>
      </c>
      <c r="AB28" s="1" t="s">
        <v>507</v>
      </c>
      <c r="AC28" s="1">
        <v>6</v>
      </c>
      <c r="AD28" s="1" t="s">
        <v>508</v>
      </c>
      <c r="AE28" s="1" t="s">
        <v>44</v>
      </c>
      <c r="AF28" s="1" t="s">
        <v>44</v>
      </c>
      <c r="AG28" s="1" t="s">
        <v>131</v>
      </c>
      <c r="AH28" s="1" t="s">
        <v>509</v>
      </c>
      <c r="AI28" s="1" t="s">
        <v>510</v>
      </c>
      <c r="AJ28" s="1"/>
    </row>
    <row r="29" spans="1:36" s="20" customFormat="1" ht="22" customHeight="1" x14ac:dyDescent="0.15">
      <c r="A29" s="1" t="s">
        <v>511</v>
      </c>
      <c r="B29" s="1" t="s">
        <v>36</v>
      </c>
      <c r="C29" s="1" t="s">
        <v>91</v>
      </c>
      <c r="D29" s="1" t="s">
        <v>38</v>
      </c>
      <c r="E29" s="1" t="s">
        <v>512</v>
      </c>
      <c r="F29" s="1" t="s">
        <v>116</v>
      </c>
      <c r="G29" s="1" t="s">
        <v>94</v>
      </c>
      <c r="H29" s="1" t="s">
        <v>513</v>
      </c>
      <c r="I29" s="1" t="s">
        <v>43</v>
      </c>
      <c r="J29" s="1" t="s">
        <v>44</v>
      </c>
      <c r="K29" s="1" t="s">
        <v>46</v>
      </c>
      <c r="L29" s="1" t="s">
        <v>74</v>
      </c>
      <c r="M29" s="1" t="s">
        <v>514</v>
      </c>
      <c r="N29" s="1" t="s">
        <v>346</v>
      </c>
      <c r="O29" s="1" t="s">
        <v>515</v>
      </c>
      <c r="P29" s="1" t="s">
        <v>76</v>
      </c>
      <c r="Q29" s="1" t="s">
        <v>77</v>
      </c>
      <c r="R29" s="1" t="s">
        <v>101</v>
      </c>
      <c r="S29" s="1" t="s">
        <v>516</v>
      </c>
      <c r="T29" s="1" t="s">
        <v>517</v>
      </c>
      <c r="U29" s="1" t="s">
        <v>518</v>
      </c>
      <c r="V29" s="1" t="s">
        <v>519</v>
      </c>
      <c r="W29" s="1" t="s">
        <v>520</v>
      </c>
      <c r="X29" s="1" t="s">
        <v>58</v>
      </c>
      <c r="Y29" s="1" t="s">
        <v>83</v>
      </c>
      <c r="Z29" s="1" t="s">
        <v>170</v>
      </c>
      <c r="AA29" s="1" t="s">
        <v>521</v>
      </c>
      <c r="AB29" s="1" t="s">
        <v>522</v>
      </c>
      <c r="AC29" s="1">
        <v>8</v>
      </c>
      <c r="AD29" s="1" t="s">
        <v>523</v>
      </c>
      <c r="AE29" s="1" t="s">
        <v>44</v>
      </c>
      <c r="AF29" s="1" t="s">
        <v>44</v>
      </c>
      <c r="AG29" s="1" t="s">
        <v>355</v>
      </c>
      <c r="AH29" s="1" t="s">
        <v>524</v>
      </c>
      <c r="AI29" s="1" t="s">
        <v>525</v>
      </c>
      <c r="AJ29" s="1"/>
    </row>
    <row r="30" spans="1:36" s="20" customFormat="1" ht="22" customHeight="1" x14ac:dyDescent="0.15">
      <c r="A30" s="1" t="s">
        <v>526</v>
      </c>
      <c r="B30" s="1" t="s">
        <v>36</v>
      </c>
      <c r="C30" s="1" t="s">
        <v>67</v>
      </c>
      <c r="D30" s="1" t="s">
        <v>68</v>
      </c>
      <c r="E30" s="1" t="s">
        <v>527</v>
      </c>
      <c r="F30" s="1" t="s">
        <v>528</v>
      </c>
      <c r="G30" s="1" t="s">
        <v>529</v>
      </c>
      <c r="H30" s="1" t="s">
        <v>530</v>
      </c>
      <c r="I30" s="1" t="s">
        <v>140</v>
      </c>
      <c r="J30" s="1" t="s">
        <v>44</v>
      </c>
      <c r="K30" s="1" t="s">
        <v>46</v>
      </c>
      <c r="L30" s="1" t="s">
        <v>119</v>
      </c>
      <c r="M30" s="1" t="s">
        <v>531</v>
      </c>
      <c r="N30" s="1" t="s">
        <v>74</v>
      </c>
      <c r="O30" s="1" t="s">
        <v>532</v>
      </c>
      <c r="P30" s="1" t="s">
        <v>77</v>
      </c>
      <c r="Q30" s="1" t="s">
        <v>46</v>
      </c>
      <c r="R30" s="1" t="s">
        <v>102</v>
      </c>
      <c r="S30" s="1" t="s">
        <v>533</v>
      </c>
      <c r="T30" s="1" t="s">
        <v>534</v>
      </c>
      <c r="U30" s="1" t="s">
        <v>535</v>
      </c>
      <c r="V30" s="1" t="s">
        <v>536</v>
      </c>
      <c r="W30" s="1" t="s">
        <v>537</v>
      </c>
      <c r="X30" s="1" t="s">
        <v>58</v>
      </c>
      <c r="Y30" s="1" t="s">
        <v>538</v>
      </c>
      <c r="Z30" s="1" t="s">
        <v>539</v>
      </c>
      <c r="AA30" s="1" t="s">
        <v>540</v>
      </c>
      <c r="AB30" s="1" t="s">
        <v>541</v>
      </c>
      <c r="AC30" s="1">
        <v>6</v>
      </c>
      <c r="AD30" s="1" t="s">
        <v>542</v>
      </c>
      <c r="AE30" s="1" t="s">
        <v>44</v>
      </c>
      <c r="AF30" s="1" t="s">
        <v>158</v>
      </c>
      <c r="AG30" s="1" t="s">
        <v>543</v>
      </c>
      <c r="AH30" s="1" t="s">
        <v>544</v>
      </c>
      <c r="AI30" s="1" t="s">
        <v>545</v>
      </c>
      <c r="AJ30" s="1"/>
    </row>
    <row r="31" spans="1:36" s="20" customFormat="1" ht="22" customHeight="1" x14ac:dyDescent="0.15">
      <c r="A31" s="1" t="s">
        <v>546</v>
      </c>
      <c r="B31" s="1" t="s">
        <v>36</v>
      </c>
      <c r="C31" s="1" t="s">
        <v>91</v>
      </c>
      <c r="D31" s="1" t="s">
        <v>547</v>
      </c>
      <c r="E31" s="1" t="s">
        <v>548</v>
      </c>
      <c r="F31" s="1" t="s">
        <v>40</v>
      </c>
      <c r="G31" s="1" t="s">
        <v>549</v>
      </c>
      <c r="H31" s="1" t="s">
        <v>343</v>
      </c>
      <c r="I31" s="1" t="s">
        <v>43</v>
      </c>
      <c r="J31" s="1" t="s">
        <v>44</v>
      </c>
      <c r="K31" s="1" t="s">
        <v>46</v>
      </c>
      <c r="L31" s="1" t="s">
        <v>96</v>
      </c>
      <c r="M31" s="1" t="s">
        <v>550</v>
      </c>
      <c r="N31" s="1" t="s">
        <v>551</v>
      </c>
      <c r="O31" s="1" t="s">
        <v>552</v>
      </c>
      <c r="P31" s="1" t="s">
        <v>76</v>
      </c>
      <c r="Q31" s="1" t="s">
        <v>46</v>
      </c>
      <c r="R31" s="1" t="s">
        <v>102</v>
      </c>
      <c r="S31" s="1" t="s">
        <v>553</v>
      </c>
      <c r="T31" s="1" t="s">
        <v>554</v>
      </c>
      <c r="U31" s="1" t="s">
        <v>555</v>
      </c>
      <c r="V31" s="1" t="s">
        <v>556</v>
      </c>
      <c r="W31" s="1" t="s">
        <v>557</v>
      </c>
      <c r="X31" s="1" t="s">
        <v>126</v>
      </c>
      <c r="Y31" s="1" t="s">
        <v>59</v>
      </c>
      <c r="Z31" s="1" t="s">
        <v>127</v>
      </c>
      <c r="AA31" s="1" t="s">
        <v>558</v>
      </c>
      <c r="AB31" s="1" t="s">
        <v>559</v>
      </c>
      <c r="AC31" s="1">
        <v>8</v>
      </c>
      <c r="AD31" s="1" t="s">
        <v>560</v>
      </c>
      <c r="AE31" s="1" t="s">
        <v>44</v>
      </c>
      <c r="AF31" s="1" t="s">
        <v>44</v>
      </c>
      <c r="AG31" s="1" t="s">
        <v>110</v>
      </c>
      <c r="AH31" s="1" t="s">
        <v>561</v>
      </c>
      <c r="AI31" s="1" t="s">
        <v>562</v>
      </c>
      <c r="AJ31" s="1"/>
    </row>
    <row r="32" spans="1:36" s="20" customFormat="1" ht="22" customHeight="1" x14ac:dyDescent="0.15">
      <c r="A32" s="1" t="s">
        <v>563</v>
      </c>
      <c r="B32" s="1" t="s">
        <v>36</v>
      </c>
      <c r="C32" s="1" t="s">
        <v>37</v>
      </c>
      <c r="D32" s="1" t="s">
        <v>114</v>
      </c>
      <c r="E32" s="1" t="s">
        <v>564</v>
      </c>
      <c r="F32" s="1" t="s">
        <v>116</v>
      </c>
      <c r="G32" s="1" t="s">
        <v>565</v>
      </c>
      <c r="H32" s="1" t="s">
        <v>566</v>
      </c>
      <c r="I32" s="1" t="s">
        <v>141</v>
      </c>
      <c r="J32" s="1" t="s">
        <v>158</v>
      </c>
      <c r="K32" s="1" t="s">
        <v>46</v>
      </c>
      <c r="L32" s="1" t="s">
        <v>45</v>
      </c>
      <c r="M32" s="1" t="s">
        <v>567</v>
      </c>
      <c r="N32" s="1" t="s">
        <v>48</v>
      </c>
      <c r="O32" s="1" t="s">
        <v>568</v>
      </c>
      <c r="P32" s="1" t="s">
        <v>231</v>
      </c>
      <c r="Q32" s="1" t="s">
        <v>46</v>
      </c>
      <c r="R32" s="1" t="s">
        <v>102</v>
      </c>
      <c r="S32" s="1" t="s">
        <v>569</v>
      </c>
      <c r="T32" s="1" t="s">
        <v>570</v>
      </c>
      <c r="U32" s="1" t="s">
        <v>571</v>
      </c>
      <c r="V32" s="1" t="s">
        <v>572</v>
      </c>
      <c r="W32" s="1" t="s">
        <v>573</v>
      </c>
      <c r="X32" s="1" t="s">
        <v>251</v>
      </c>
      <c r="Y32" s="1" t="s">
        <v>83</v>
      </c>
      <c r="Z32" s="1" t="s">
        <v>267</v>
      </c>
      <c r="AA32" s="1" t="s">
        <v>574</v>
      </c>
      <c r="AB32" s="1" t="s">
        <v>575</v>
      </c>
      <c r="AC32" s="1">
        <v>7</v>
      </c>
      <c r="AD32" s="1" t="s">
        <v>576</v>
      </c>
      <c r="AE32" s="1" t="s">
        <v>44</v>
      </c>
      <c r="AF32" s="1" t="s">
        <v>158</v>
      </c>
      <c r="AG32" s="1" t="s">
        <v>577</v>
      </c>
      <c r="AH32" s="1" t="s">
        <v>578</v>
      </c>
      <c r="AI32" s="1" t="s">
        <v>579</v>
      </c>
      <c r="AJ32" s="1"/>
    </row>
    <row r="33" spans="1:36" s="20" customFormat="1" ht="22" customHeight="1" x14ac:dyDescent="0.15">
      <c r="A33" s="1" t="s">
        <v>580</v>
      </c>
      <c r="B33" s="1" t="s">
        <v>135</v>
      </c>
      <c r="C33" s="1" t="s">
        <v>136</v>
      </c>
      <c r="D33" s="1" t="s">
        <v>581</v>
      </c>
      <c r="E33" s="1" t="s">
        <v>582</v>
      </c>
      <c r="F33" s="1" t="s">
        <v>116</v>
      </c>
      <c r="G33" s="1" t="s">
        <v>583</v>
      </c>
      <c r="H33" s="1" t="s">
        <v>584</v>
      </c>
      <c r="I33" s="1" t="s">
        <v>195</v>
      </c>
      <c r="J33" s="1" t="s">
        <v>158</v>
      </c>
      <c r="K33" s="1" t="s">
        <v>46</v>
      </c>
      <c r="L33" s="1" t="s">
        <v>141</v>
      </c>
      <c r="M33" s="1" t="s">
        <v>585</v>
      </c>
      <c r="N33" s="1" t="s">
        <v>551</v>
      </c>
      <c r="O33" s="1" t="s">
        <v>586</v>
      </c>
      <c r="P33" s="1" t="s">
        <v>77</v>
      </c>
      <c r="Q33" s="1" t="s">
        <v>77</v>
      </c>
      <c r="R33" s="1" t="s">
        <v>102</v>
      </c>
      <c r="S33" s="1" t="s">
        <v>587</v>
      </c>
      <c r="T33" s="1" t="s">
        <v>588</v>
      </c>
      <c r="U33" s="1" t="s">
        <v>148</v>
      </c>
      <c r="V33" s="1" t="s">
        <v>589</v>
      </c>
      <c r="W33" s="1" t="s">
        <v>590</v>
      </c>
      <c r="X33" s="1" t="s">
        <v>126</v>
      </c>
      <c r="Y33" s="1" t="s">
        <v>83</v>
      </c>
      <c r="Z33" s="1" t="s">
        <v>170</v>
      </c>
      <c r="AA33" s="1" t="s">
        <v>591</v>
      </c>
      <c r="AB33" s="1" t="s">
        <v>592</v>
      </c>
      <c r="AC33" s="1">
        <v>8</v>
      </c>
      <c r="AD33" s="1" t="s">
        <v>593</v>
      </c>
      <c r="AE33" s="1" t="s">
        <v>44</v>
      </c>
      <c r="AF33" s="1" t="s">
        <v>44</v>
      </c>
      <c r="AG33" s="1" t="s">
        <v>594</v>
      </c>
      <c r="AH33" s="1" t="s">
        <v>447</v>
      </c>
      <c r="AI33" s="1" t="s">
        <v>148</v>
      </c>
      <c r="AJ33" s="1"/>
    </row>
    <row r="34" spans="1:36" s="20" customFormat="1" ht="22" customHeight="1" x14ac:dyDescent="0.15">
      <c r="A34" s="19" t="s">
        <v>595</v>
      </c>
      <c r="B34" s="19" t="s">
        <v>135</v>
      </c>
      <c r="C34" s="19" t="s">
        <v>340</v>
      </c>
      <c r="D34" s="19" t="s">
        <v>114</v>
      </c>
      <c r="E34" s="19" t="s">
        <v>596</v>
      </c>
      <c r="F34" s="21" t="s">
        <v>93</v>
      </c>
      <c r="G34" s="19" t="s">
        <v>597</v>
      </c>
      <c r="H34" s="19" t="s">
        <v>598</v>
      </c>
      <c r="I34" s="19" t="s">
        <v>140</v>
      </c>
      <c r="J34" s="19" t="s">
        <v>158</v>
      </c>
      <c r="K34" s="19" t="s">
        <v>46</v>
      </c>
      <c r="L34" s="19" t="s">
        <v>599</v>
      </c>
      <c r="M34" s="19" t="s">
        <v>600</v>
      </c>
      <c r="N34" s="19" t="s">
        <v>101</v>
      </c>
      <c r="O34" s="19" t="s">
        <v>601</v>
      </c>
      <c r="P34" s="19" t="s">
        <v>76</v>
      </c>
      <c r="Q34" s="19" t="s">
        <v>101</v>
      </c>
      <c r="R34" s="19" t="s">
        <v>102</v>
      </c>
      <c r="S34" s="19" t="s">
        <v>602</v>
      </c>
      <c r="T34" s="19" t="s">
        <v>603</v>
      </c>
      <c r="U34" s="19" t="s">
        <v>604</v>
      </c>
      <c r="V34" s="19" t="s">
        <v>148</v>
      </c>
      <c r="W34" s="19" t="s">
        <v>605</v>
      </c>
      <c r="X34" s="19" t="s">
        <v>126</v>
      </c>
      <c r="Y34" s="19" t="s">
        <v>83</v>
      </c>
      <c r="Z34" s="19" t="s">
        <v>106</v>
      </c>
      <c r="AA34" s="19" t="s">
        <v>606</v>
      </c>
      <c r="AB34" s="19" t="s">
        <v>148</v>
      </c>
      <c r="AC34" s="19">
        <v>7</v>
      </c>
      <c r="AD34" s="19" t="s">
        <v>607</v>
      </c>
      <c r="AE34" s="19" t="s">
        <v>158</v>
      </c>
      <c r="AF34" s="19" t="s">
        <v>44</v>
      </c>
      <c r="AG34" s="19" t="s">
        <v>608</v>
      </c>
      <c r="AH34" s="19" t="s">
        <v>609</v>
      </c>
      <c r="AI34" s="19" t="s">
        <v>148</v>
      </c>
      <c r="AJ34" s="19"/>
    </row>
    <row r="35" spans="1:36" s="20" customFormat="1" ht="22" customHeight="1" x14ac:dyDescent="0.15">
      <c r="A35" s="19" t="s">
        <v>610</v>
      </c>
      <c r="B35" s="19" t="s">
        <v>36</v>
      </c>
      <c r="C35" s="19" t="s">
        <v>340</v>
      </c>
      <c r="D35" s="19" t="s">
        <v>581</v>
      </c>
      <c r="E35" s="19" t="s">
        <v>611</v>
      </c>
      <c r="F35" s="21" t="s">
        <v>70</v>
      </c>
      <c r="G35" s="19" t="s">
        <v>612</v>
      </c>
      <c r="H35" s="19" t="s">
        <v>613</v>
      </c>
      <c r="I35" s="19" t="s">
        <v>361</v>
      </c>
      <c r="J35" s="19" t="s">
        <v>44</v>
      </c>
      <c r="K35" s="19" t="s">
        <v>46</v>
      </c>
      <c r="L35" s="19" t="s">
        <v>45</v>
      </c>
      <c r="M35" s="19" t="s">
        <v>614</v>
      </c>
      <c r="N35" s="19" t="s">
        <v>143</v>
      </c>
      <c r="O35" s="19" t="s">
        <v>615</v>
      </c>
      <c r="P35" s="19" t="s">
        <v>76</v>
      </c>
      <c r="Q35" s="19" t="s">
        <v>101</v>
      </c>
      <c r="R35" s="19" t="s">
        <v>52</v>
      </c>
      <c r="S35" s="19" t="s">
        <v>616</v>
      </c>
      <c r="T35" s="19" t="s">
        <v>617</v>
      </c>
      <c r="U35" s="19" t="s">
        <v>634</v>
      </c>
      <c r="V35" s="19" t="s">
        <v>618</v>
      </c>
      <c r="W35" s="19" t="s">
        <v>619</v>
      </c>
      <c r="X35" s="19" t="s">
        <v>126</v>
      </c>
      <c r="Y35" s="19" t="s">
        <v>83</v>
      </c>
      <c r="Z35" s="19" t="s">
        <v>127</v>
      </c>
      <c r="AA35" s="19" t="s">
        <v>620</v>
      </c>
      <c r="AB35" s="19" t="s">
        <v>621</v>
      </c>
      <c r="AC35" s="19">
        <v>6</v>
      </c>
      <c r="AD35" s="19" t="s">
        <v>622</v>
      </c>
      <c r="AE35" s="19" t="s">
        <v>44</v>
      </c>
      <c r="AF35" s="19" t="s">
        <v>158</v>
      </c>
      <c r="AG35" s="19" t="s">
        <v>222</v>
      </c>
      <c r="AH35" s="19" t="s">
        <v>623</v>
      </c>
      <c r="AI35" s="19" t="s">
        <v>624</v>
      </c>
      <c r="AJ35" s="19"/>
    </row>
    <row r="36" spans="1:36" s="20" customFormat="1" ht="22" customHeight="1" x14ac:dyDescent="0.15">
      <c r="A36" s="1" t="s">
        <v>635</v>
      </c>
      <c r="B36" s="1" t="s">
        <v>135</v>
      </c>
      <c r="C36" s="1" t="s">
        <v>37</v>
      </c>
      <c r="D36" s="1" t="s">
        <v>636</v>
      </c>
      <c r="E36" s="1" t="s">
        <v>637</v>
      </c>
      <c r="F36" s="1" t="s">
        <v>40</v>
      </c>
      <c r="G36" s="1" t="s">
        <v>41</v>
      </c>
      <c r="H36" s="1" t="s">
        <v>42</v>
      </c>
      <c r="I36" s="1" t="s">
        <v>140</v>
      </c>
      <c r="J36" s="1" t="s">
        <v>158</v>
      </c>
      <c r="K36" s="1" t="s">
        <v>46</v>
      </c>
      <c r="L36" s="1" t="s">
        <v>309</v>
      </c>
      <c r="M36" s="1" t="s">
        <v>638</v>
      </c>
      <c r="N36" s="1" t="s">
        <v>551</v>
      </c>
      <c r="O36" s="1" t="s">
        <v>639</v>
      </c>
      <c r="P36" s="1" t="s">
        <v>76</v>
      </c>
      <c r="Q36" s="1" t="s">
        <v>46</v>
      </c>
      <c r="R36" s="1" t="s">
        <v>102</v>
      </c>
      <c r="S36" s="1" t="s">
        <v>640</v>
      </c>
      <c r="T36" s="1" t="s">
        <v>641</v>
      </c>
      <c r="U36" s="1" t="s">
        <v>642</v>
      </c>
      <c r="V36" s="1" t="s">
        <v>148</v>
      </c>
      <c r="W36" s="1" t="s">
        <v>62</v>
      </c>
      <c r="X36" s="1" t="s">
        <v>643</v>
      </c>
      <c r="Y36" s="1" t="s">
        <v>83</v>
      </c>
      <c r="Z36" s="1" t="s">
        <v>267</v>
      </c>
      <c r="AA36" s="1" t="s">
        <v>644</v>
      </c>
      <c r="AB36" s="1" t="s">
        <v>645</v>
      </c>
      <c r="AC36" s="1">
        <v>7</v>
      </c>
      <c r="AD36" s="1" t="s">
        <v>646</v>
      </c>
      <c r="AE36" s="1" t="s">
        <v>44</v>
      </c>
      <c r="AF36" s="1" t="s">
        <v>44</v>
      </c>
      <c r="AG36" s="1" t="s">
        <v>608</v>
      </c>
      <c r="AH36" s="1" t="s">
        <v>647</v>
      </c>
      <c r="AI36" s="1" t="s">
        <v>648</v>
      </c>
      <c r="AJ36" s="1"/>
    </row>
    <row r="37" spans="1:36" s="26" customFormat="1" ht="15.75" customHeight="1" x14ac:dyDescent="0.15">
      <c r="A37" s="24" t="s">
        <v>649</v>
      </c>
      <c r="B37" s="24" t="s">
        <v>135</v>
      </c>
      <c r="C37" s="24" t="s">
        <v>650</v>
      </c>
      <c r="D37" s="24" t="s">
        <v>581</v>
      </c>
      <c r="E37" s="24" t="s">
        <v>651</v>
      </c>
      <c r="F37" s="25" t="s">
        <v>116</v>
      </c>
      <c r="G37" s="24" t="s">
        <v>652</v>
      </c>
      <c r="H37" s="24" t="s">
        <v>653</v>
      </c>
      <c r="I37" s="24" t="s">
        <v>46</v>
      </c>
      <c r="J37" s="24" t="s">
        <v>158</v>
      </c>
      <c r="K37" s="24" t="s">
        <v>46</v>
      </c>
      <c r="L37" s="24" t="s">
        <v>46</v>
      </c>
      <c r="M37" s="24" t="s">
        <v>654</v>
      </c>
      <c r="N37" s="24" t="s">
        <v>143</v>
      </c>
      <c r="O37" s="24" t="s">
        <v>655</v>
      </c>
      <c r="P37" s="24" t="s">
        <v>656</v>
      </c>
      <c r="Q37" s="24" t="s">
        <v>101</v>
      </c>
      <c r="R37" s="24" t="s">
        <v>455</v>
      </c>
      <c r="S37" s="24" t="s">
        <v>657</v>
      </c>
      <c r="T37" s="24" t="s">
        <v>658</v>
      </c>
      <c r="U37" s="24" t="s">
        <v>148</v>
      </c>
      <c r="V37" s="24" t="s">
        <v>148</v>
      </c>
      <c r="W37" s="24" t="s">
        <v>148</v>
      </c>
      <c r="X37" s="24" t="s">
        <v>643</v>
      </c>
      <c r="Y37" s="24" t="s">
        <v>317</v>
      </c>
      <c r="Z37" s="24" t="s">
        <v>405</v>
      </c>
      <c r="AA37" s="24" t="s">
        <v>659</v>
      </c>
      <c r="AB37" s="24" t="s">
        <v>148</v>
      </c>
      <c r="AC37" s="24">
        <v>3</v>
      </c>
      <c r="AD37" s="24" t="s">
        <v>660</v>
      </c>
      <c r="AE37" s="24" t="s">
        <v>158</v>
      </c>
      <c r="AF37" s="24" t="s">
        <v>158</v>
      </c>
      <c r="AG37" s="24" t="s">
        <v>661</v>
      </c>
      <c r="AH37" s="24" t="s">
        <v>662</v>
      </c>
      <c r="AI37" s="24" t="s">
        <v>148</v>
      </c>
      <c r="AJ37" s="24"/>
    </row>
    <row r="38" spans="1:36" ht="15.75" customHeight="1" x14ac:dyDescent="0.1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row>
    <row r="39" spans="1:36" ht="15.75" customHeight="1" x14ac:dyDescent="0.1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row>
    <row r="40" spans="1:36" ht="15.75" customHeight="1" x14ac:dyDescent="0.1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1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1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1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1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1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1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1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1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1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1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1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1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1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1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1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1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1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1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1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1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1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1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1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1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1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1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1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1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1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1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1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1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1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1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1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1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1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1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1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1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1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1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1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1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3" x14ac:dyDescent="0.1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3" x14ac:dyDescent="0.1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3" x14ac:dyDescent="0.1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3" x14ac:dyDescent="0.1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3" x14ac:dyDescent="0.1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3" x14ac:dyDescent="0.1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3" x14ac:dyDescent="0.1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3" x14ac:dyDescent="0.1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3" x14ac:dyDescent="0.1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3" x14ac:dyDescent="0.1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3" x14ac:dyDescent="0.1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3" x14ac:dyDescent="0.1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3" x14ac:dyDescent="0.1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3" x14ac:dyDescent="0.1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3" x14ac:dyDescent="0.1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3" x14ac:dyDescent="0.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3" x14ac:dyDescent="0.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3" x14ac:dyDescent="0.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3" x14ac:dyDescent="0.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3" x14ac:dyDescent="0.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3" x14ac:dyDescent="0.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3" x14ac:dyDescent="0.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3" x14ac:dyDescent="0.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3" x14ac:dyDescent="0.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3" x14ac:dyDescent="0.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3" x14ac:dyDescent="0.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3" x14ac:dyDescent="0.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3" x14ac:dyDescent="0.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3" x14ac:dyDescent="0.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3" x14ac:dyDescent="0.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3" x14ac:dyDescent="0.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3" x14ac:dyDescent="0.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3" x14ac:dyDescent="0.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3" x14ac:dyDescent="0.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3" x14ac:dyDescent="0.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3" x14ac:dyDescent="0.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3" x14ac:dyDescent="0.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3" x14ac:dyDescent="0.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3" x14ac:dyDescent="0.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3" x14ac:dyDescent="0.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3" x14ac:dyDescent="0.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3" x14ac:dyDescent="0.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3" x14ac:dyDescent="0.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3" x14ac:dyDescent="0.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3" x14ac:dyDescent="0.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sheetData>
  <phoneticPr fontId="9" type="noConversion"/>
  <hyperlinks>
    <hyperlink ref="U4" r:id="rId1" xr:uid="{00000000-0004-0000-0000-000000000000}"/>
    <hyperlink ref="V4" r:id="rId2" xr:uid="{00000000-0004-0000-0000-000001000000}"/>
    <hyperlink ref="W4" r:id="rId3" xr:uid="{00000000-0004-0000-0000-000002000000}"/>
    <hyperlink ref="S16" r:id="rId4" xr:uid="{00000000-0004-0000-0000-000003000000}"/>
    <hyperlink ref="U16" r:id="rId5" xr:uid="{00000000-0004-0000-0000-000004000000}"/>
  </hyperlinks>
  <pageMargins left="0.7" right="0.7" top="0.75" bottom="0.75" header="0.3" footer="0.3"/>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000"/>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2" max="2" width="54.1640625" customWidth="1"/>
    <col min="4" max="4" width="19.6640625" customWidth="1"/>
  </cols>
  <sheetData>
    <row r="1" spans="1:4" ht="15.75" customHeight="1" x14ac:dyDescent="0.15">
      <c r="A1" s="8" t="s">
        <v>0</v>
      </c>
      <c r="B1" s="8" t="s">
        <v>627</v>
      </c>
      <c r="C1" s="8" t="s">
        <v>628</v>
      </c>
      <c r="D1" s="9" t="s">
        <v>629</v>
      </c>
    </row>
    <row r="2" spans="1:4" ht="15.75" customHeight="1" x14ac:dyDescent="0.15">
      <c r="A2" s="8" t="e">
        <f t="array" aca="1" ref="A2:A39" ca="1">UNIQUE(#REF!)</f>
        <v>#NAME?</v>
      </c>
      <c r="B2" s="8" t="e">
        <f t="array" aca="1" ref="B2" ca="1">XLOOKUP(A2,#REF!,#REF!)</f>
        <v>#NAME?</v>
      </c>
      <c r="C2" s="8">
        <v>106</v>
      </c>
      <c r="D2" s="10">
        <v>46086</v>
      </c>
    </row>
    <row r="3" spans="1:4" ht="15.75" customHeight="1" x14ac:dyDescent="0.15">
      <c r="A3" s="8" t="e">
        <f ca="1"/>
        <v>#NAME?</v>
      </c>
      <c r="B3" s="8" t="e">
        <f t="array" aca="1" ref="B3" ca="1">XLOOKUP(A3,#REF!,#REF!)</f>
        <v>#NAME?</v>
      </c>
      <c r="C3" s="8">
        <v>324010</v>
      </c>
      <c r="D3" s="10">
        <v>46086</v>
      </c>
    </row>
    <row r="4" spans="1:4" ht="15.75" customHeight="1" x14ac:dyDescent="0.15">
      <c r="A4" s="8" t="e">
        <f ca="1"/>
        <v>#NAME?</v>
      </c>
      <c r="B4" s="8" t="e">
        <f t="array" aca="1" ref="B4" ca="1">XLOOKUP(A4,#REF!,#REF!)</f>
        <v>#NAME?</v>
      </c>
      <c r="D4" s="11" t="s">
        <v>630</v>
      </c>
    </row>
    <row r="5" spans="1:4" ht="15.75" customHeight="1" x14ac:dyDescent="0.15">
      <c r="A5" s="8" t="e">
        <f ca="1"/>
        <v>#NAME?</v>
      </c>
      <c r="B5" s="8" t="e">
        <f t="array" aca="1" ref="B5" ca="1">XLOOKUP(A5,#REF!,#REF!)</f>
        <v>#NAME?</v>
      </c>
      <c r="C5" s="8">
        <v>242065</v>
      </c>
      <c r="D5" s="10">
        <v>46093</v>
      </c>
    </row>
    <row r="6" spans="1:4" ht="15.75" customHeight="1" x14ac:dyDescent="0.15">
      <c r="A6" s="8" t="e">
        <f ca="1"/>
        <v>#NAME?</v>
      </c>
      <c r="B6" s="8" t="e">
        <f t="array" aca="1" ref="B6" ca="1">XLOOKUP(A6,#REF!,#REF!)</f>
        <v>#NAME?</v>
      </c>
    </row>
    <row r="7" spans="1:4" ht="15.75" customHeight="1" x14ac:dyDescent="0.15">
      <c r="A7" s="8" t="e">
        <f ca="1"/>
        <v>#NAME?</v>
      </c>
      <c r="B7" s="8" t="e">
        <f t="array" aca="1" ref="B7" ca="1">XLOOKUP(A7,#REF!,#REF!)</f>
        <v>#NAME?</v>
      </c>
    </row>
    <row r="8" spans="1:4" ht="15.75" customHeight="1" x14ac:dyDescent="0.15">
      <c r="A8" s="8" t="e">
        <f ca="1"/>
        <v>#NAME?</v>
      </c>
      <c r="B8" s="8" t="e">
        <f t="array" aca="1" ref="B8" ca="1">XLOOKUP(A8,#REF!,#REF!)</f>
        <v>#NAME?</v>
      </c>
    </row>
    <row r="9" spans="1:4" ht="15.75" customHeight="1" x14ac:dyDescent="0.15">
      <c r="A9" s="8" t="e">
        <f ca="1"/>
        <v>#NAME?</v>
      </c>
      <c r="B9" s="8" t="e">
        <f t="array" aca="1" ref="B9" ca="1">XLOOKUP(A9,#REF!,#REF!)</f>
        <v>#NAME?</v>
      </c>
    </row>
    <row r="10" spans="1:4" ht="15.75" customHeight="1" x14ac:dyDescent="0.15">
      <c r="A10" s="8" t="e">
        <f ca="1"/>
        <v>#NAME?</v>
      </c>
      <c r="B10" s="8" t="e">
        <f t="array" aca="1" ref="B10" ca="1">XLOOKUP(A10,#REF!,#REF!)</f>
        <v>#NAME?</v>
      </c>
    </row>
    <row r="11" spans="1:4" ht="15.75" customHeight="1" x14ac:dyDescent="0.15">
      <c r="A11" s="8" t="e">
        <f ca="1"/>
        <v>#NAME?</v>
      </c>
      <c r="B11" s="8" t="e">
        <f t="array" aca="1" ref="B11" ca="1">XLOOKUP(A11,#REF!,#REF!)</f>
        <v>#NAME?</v>
      </c>
    </row>
    <row r="12" spans="1:4" ht="15.75" customHeight="1" x14ac:dyDescent="0.15">
      <c r="A12" s="8" t="e">
        <f ca="1"/>
        <v>#NAME?</v>
      </c>
      <c r="B12" s="8" t="e">
        <f t="array" aca="1" ref="B12" ca="1">XLOOKUP(A12,#REF!,#REF!)</f>
        <v>#NAME?</v>
      </c>
    </row>
    <row r="13" spans="1:4" ht="15.75" customHeight="1" x14ac:dyDescent="0.15">
      <c r="A13" s="8" t="e">
        <f ca="1"/>
        <v>#NAME?</v>
      </c>
      <c r="B13" s="8" t="e">
        <f t="array" aca="1" ref="B13" ca="1">XLOOKUP(A13,#REF!,#REF!)</f>
        <v>#NAME?</v>
      </c>
    </row>
    <row r="14" spans="1:4" ht="15.75" customHeight="1" x14ac:dyDescent="0.15">
      <c r="A14" s="8" t="e">
        <f ca="1"/>
        <v>#NAME?</v>
      </c>
      <c r="B14" s="8" t="e">
        <f t="array" aca="1" ref="B14" ca="1">XLOOKUP(A14,#REF!,#REF!)</f>
        <v>#NAME?</v>
      </c>
    </row>
    <row r="15" spans="1:4" ht="15.75" customHeight="1" x14ac:dyDescent="0.15">
      <c r="A15" s="8" t="e">
        <f ca="1"/>
        <v>#NAME?</v>
      </c>
      <c r="B15" s="8" t="e">
        <f t="array" aca="1" ref="B15" ca="1">XLOOKUP(A15,#REF!,#REF!)</f>
        <v>#NAME?</v>
      </c>
    </row>
    <row r="16" spans="1:4" ht="15.75" customHeight="1" x14ac:dyDescent="0.15">
      <c r="A16" s="8" t="e">
        <f ca="1"/>
        <v>#NAME?</v>
      </c>
      <c r="B16" s="8" t="e">
        <f t="array" aca="1" ref="B16" ca="1">XLOOKUP(A16,#REF!,#REF!)</f>
        <v>#NAME?</v>
      </c>
    </row>
    <row r="17" spans="1:2" ht="15.75" customHeight="1" x14ac:dyDescent="0.15">
      <c r="A17" s="8" t="e">
        <f ca="1"/>
        <v>#NAME?</v>
      </c>
      <c r="B17" s="8" t="e">
        <f t="array" aca="1" ref="B17" ca="1">XLOOKUP(A17,#REF!,#REF!)</f>
        <v>#NAME?</v>
      </c>
    </row>
    <row r="18" spans="1:2" ht="15.75" customHeight="1" x14ac:dyDescent="0.15">
      <c r="A18" s="8" t="e">
        <f ca="1"/>
        <v>#NAME?</v>
      </c>
      <c r="B18" s="8" t="e">
        <f t="array" aca="1" ref="B18" ca="1">XLOOKUP(A18,#REF!,#REF!)</f>
        <v>#NAME?</v>
      </c>
    </row>
    <row r="19" spans="1:2" ht="15.75" customHeight="1" x14ac:dyDescent="0.15">
      <c r="A19" s="8" t="e">
        <f ca="1"/>
        <v>#NAME?</v>
      </c>
      <c r="B19" s="8" t="e">
        <f t="array" aca="1" ref="B19" ca="1">XLOOKUP(A19,#REF!,#REF!)</f>
        <v>#NAME?</v>
      </c>
    </row>
    <row r="20" spans="1:2" ht="15.75" customHeight="1" x14ac:dyDescent="0.15">
      <c r="A20" s="8" t="e">
        <f ca="1"/>
        <v>#NAME?</v>
      </c>
      <c r="B20" s="8" t="e">
        <f t="array" aca="1" ref="B20" ca="1">XLOOKUP(A20,#REF!,#REF!)</f>
        <v>#NAME?</v>
      </c>
    </row>
    <row r="21" spans="1:2" ht="15.75" customHeight="1" x14ac:dyDescent="0.15">
      <c r="A21" s="8" t="e">
        <f ca="1"/>
        <v>#NAME?</v>
      </c>
      <c r="B21" s="8" t="e">
        <f t="array" aca="1" ref="B21" ca="1">XLOOKUP(A21,#REF!,#REF!)</f>
        <v>#NAME?</v>
      </c>
    </row>
    <row r="22" spans="1:2" ht="15.75" customHeight="1" x14ac:dyDescent="0.15">
      <c r="A22" s="8" t="e">
        <f ca="1"/>
        <v>#NAME?</v>
      </c>
      <c r="B22" s="8" t="e">
        <f t="array" aca="1" ref="B22" ca="1">XLOOKUP(A22,#REF!,#REF!)</f>
        <v>#NAME?</v>
      </c>
    </row>
    <row r="23" spans="1:2" ht="15.75" customHeight="1" x14ac:dyDescent="0.15">
      <c r="A23" s="8" t="e">
        <f ca="1"/>
        <v>#NAME?</v>
      </c>
      <c r="B23" s="8" t="e">
        <f t="array" aca="1" ref="B23" ca="1">XLOOKUP(A23,#REF!,#REF!)</f>
        <v>#NAME?</v>
      </c>
    </row>
    <row r="24" spans="1:2" ht="15.75" customHeight="1" x14ac:dyDescent="0.15">
      <c r="A24" s="8" t="e">
        <f ca="1"/>
        <v>#NAME?</v>
      </c>
      <c r="B24" s="8" t="e">
        <f t="array" aca="1" ref="B24" ca="1">XLOOKUP(A24,#REF!,#REF!)</f>
        <v>#NAME?</v>
      </c>
    </row>
    <row r="25" spans="1:2" ht="15.75" customHeight="1" x14ac:dyDescent="0.15">
      <c r="A25" s="8" t="e">
        <f ca="1"/>
        <v>#NAME?</v>
      </c>
      <c r="B25" s="8" t="e">
        <f t="array" aca="1" ref="B25" ca="1">XLOOKUP(A25,#REF!,#REF!)</f>
        <v>#NAME?</v>
      </c>
    </row>
    <row r="26" spans="1:2" ht="15.75" customHeight="1" x14ac:dyDescent="0.15">
      <c r="A26" s="8" t="e">
        <f ca="1"/>
        <v>#NAME?</v>
      </c>
      <c r="B26" s="8" t="e">
        <f t="array" aca="1" ref="B26" ca="1">XLOOKUP(A26,#REF!,#REF!)</f>
        <v>#NAME?</v>
      </c>
    </row>
    <row r="27" spans="1:2" ht="15.75" customHeight="1" x14ac:dyDescent="0.15">
      <c r="A27" s="8" t="e">
        <f ca="1"/>
        <v>#NAME?</v>
      </c>
      <c r="B27" s="8" t="e">
        <f t="array" aca="1" ref="B27" ca="1">XLOOKUP(A27,#REF!,#REF!)</f>
        <v>#NAME?</v>
      </c>
    </row>
    <row r="28" spans="1:2" ht="15.75" customHeight="1" x14ac:dyDescent="0.15">
      <c r="A28" s="8" t="e">
        <f ca="1"/>
        <v>#NAME?</v>
      </c>
      <c r="B28" s="8" t="e">
        <f t="array" aca="1" ref="B28" ca="1">XLOOKUP(A28,#REF!,#REF!)</f>
        <v>#NAME?</v>
      </c>
    </row>
    <row r="29" spans="1:2" ht="15.75" customHeight="1" x14ac:dyDescent="0.15">
      <c r="A29" s="8" t="e">
        <f ca="1"/>
        <v>#NAME?</v>
      </c>
      <c r="B29" s="8" t="e">
        <f t="array" aca="1" ref="B29" ca="1">XLOOKUP(A29,#REF!,#REF!)</f>
        <v>#NAME?</v>
      </c>
    </row>
    <row r="30" spans="1:2" ht="15.75" customHeight="1" x14ac:dyDescent="0.15">
      <c r="A30" s="8" t="e">
        <f ca="1"/>
        <v>#NAME?</v>
      </c>
      <c r="B30" s="8" t="e">
        <f t="array" aca="1" ref="B30" ca="1">XLOOKUP(A30,#REF!,#REF!)</f>
        <v>#NAME?</v>
      </c>
    </row>
    <row r="31" spans="1:2" ht="15.75" customHeight="1" x14ac:dyDescent="0.15">
      <c r="A31" s="8" t="e">
        <f ca="1"/>
        <v>#NAME?</v>
      </c>
      <c r="B31" s="8" t="e">
        <f t="array" aca="1" ref="B31" ca="1">XLOOKUP(A31,#REF!,#REF!)</f>
        <v>#NAME?</v>
      </c>
    </row>
    <row r="32" spans="1:2" ht="15.75" customHeight="1" x14ac:dyDescent="0.15">
      <c r="A32" s="8" t="e">
        <f ca="1"/>
        <v>#NAME?</v>
      </c>
      <c r="B32" s="8" t="e">
        <f t="array" aca="1" ref="B32" ca="1">XLOOKUP(A32,#REF!,#REF!)</f>
        <v>#NAME?</v>
      </c>
    </row>
    <row r="33" spans="1:2" ht="15.75" customHeight="1" x14ac:dyDescent="0.15">
      <c r="A33" s="8" t="e">
        <f ca="1"/>
        <v>#NAME?</v>
      </c>
      <c r="B33" s="8" t="e">
        <f t="array" aca="1" ref="B33" ca="1">XLOOKUP(A33,#REF!,#REF!)</f>
        <v>#NAME?</v>
      </c>
    </row>
    <row r="34" spans="1:2" ht="15.75" customHeight="1" x14ac:dyDescent="0.15">
      <c r="A34" s="8" t="e">
        <f ca="1"/>
        <v>#NAME?</v>
      </c>
      <c r="B34" s="8" t="e">
        <f t="array" aca="1" ref="B34" ca="1">XLOOKUP(A34,#REF!,#REF!)</f>
        <v>#NAME?</v>
      </c>
    </row>
    <row r="35" spans="1:2" ht="15.75" customHeight="1" x14ac:dyDescent="0.15">
      <c r="A35" s="8" t="e">
        <f ca="1"/>
        <v>#NAME?</v>
      </c>
      <c r="B35" s="8" t="e">
        <f t="array" aca="1" ref="B35" ca="1">XLOOKUP(A35,#REF!,#REF!)</f>
        <v>#NAME?</v>
      </c>
    </row>
    <row r="36" spans="1:2" ht="15.75" customHeight="1" x14ac:dyDescent="0.15">
      <c r="A36" s="8" t="e">
        <f ca="1"/>
        <v>#NAME?</v>
      </c>
      <c r="B36" s="8" t="e">
        <f t="array" aca="1" ref="B36" ca="1">XLOOKUP(A36,#REF!,#REF!)</f>
        <v>#NAME?</v>
      </c>
    </row>
    <row r="37" spans="1:2" ht="15.75" customHeight="1" x14ac:dyDescent="0.15">
      <c r="A37" s="8" t="e">
        <f ca="1"/>
        <v>#NAME?</v>
      </c>
      <c r="B37" s="8" t="e">
        <f t="array" aca="1" ref="B37" ca="1">XLOOKUP(A37,#REF!,#REF!)</f>
        <v>#NAME?</v>
      </c>
    </row>
    <row r="38" spans="1:2" ht="15.75" customHeight="1" x14ac:dyDescent="0.15">
      <c r="A38" s="8" t="e">
        <f ca="1"/>
        <v>#NAME?</v>
      </c>
      <c r="B38" s="8" t="e">
        <f t="array" aca="1" ref="B38" ca="1">XLOOKUP(A38,#REF!,#REF!)</f>
        <v>#NAME?</v>
      </c>
    </row>
    <row r="39" spans="1:2" ht="15.75" customHeight="1" x14ac:dyDescent="0.15">
      <c r="A39" s="8" t="e">
        <f ca="1"/>
        <v>#NAME?</v>
      </c>
      <c r="B39" s="8" t="e">
        <f t="array" aca="1" ref="B39" ca="1">XLOOKUP(A39,#REF!,#REF!)</f>
        <v>#NAME?</v>
      </c>
    </row>
    <row r="40" spans="1:2" ht="15.75" customHeight="1" x14ac:dyDescent="0.15">
      <c r="B40" s="8" t="e">
        <f t="array" aca="1" ref="B40" ca="1">XLOOKUP(A40,#REF!,#REF!)</f>
        <v>#NAME?</v>
      </c>
    </row>
    <row r="41" spans="1:2" ht="15.75" customHeight="1" x14ac:dyDescent="0.15">
      <c r="B41" s="8" t="e">
        <f t="array" aca="1" ref="B41" ca="1">XLOOKUP(A41,#REF!,#REF!)</f>
        <v>#NAME?</v>
      </c>
    </row>
    <row r="42" spans="1:2" ht="15.75" customHeight="1" x14ac:dyDescent="0.15">
      <c r="B42" s="8" t="e">
        <f t="array" aca="1" ref="B42" ca="1">XLOOKUP(A42,#REF!,#REF!)</f>
        <v>#NAME?</v>
      </c>
    </row>
    <row r="43" spans="1:2" ht="15.75" customHeight="1" x14ac:dyDescent="0.15">
      <c r="B43" s="8" t="e">
        <f t="array" aca="1" ref="B43" ca="1">XLOOKUP(A43,#REF!,#REF!)</f>
        <v>#NAME?</v>
      </c>
    </row>
    <row r="44" spans="1:2" ht="15.75" customHeight="1" x14ac:dyDescent="0.15">
      <c r="B44" s="8" t="e">
        <f t="array" aca="1" ref="B44" ca="1">XLOOKUP(A44,#REF!,#REF!)</f>
        <v>#NAME?</v>
      </c>
    </row>
    <row r="45" spans="1:2" ht="15.75" customHeight="1" x14ac:dyDescent="0.15">
      <c r="B45" s="8" t="e">
        <f t="array" aca="1" ref="B45" ca="1">XLOOKUP(A45,#REF!,#REF!)</f>
        <v>#NAME?</v>
      </c>
    </row>
    <row r="46" spans="1:2" ht="15.75" customHeight="1" x14ac:dyDescent="0.15">
      <c r="B46" s="8" t="e">
        <f t="array" aca="1" ref="B46" ca="1">XLOOKUP(A46,#REF!,#REF!)</f>
        <v>#NAME?</v>
      </c>
    </row>
    <row r="47" spans="1:2" ht="15.75" customHeight="1" x14ac:dyDescent="0.15">
      <c r="B47" s="8" t="e">
        <f t="array" aca="1" ref="B47" ca="1">XLOOKUP(A47,#REF!,#REF!)</f>
        <v>#NAME?</v>
      </c>
    </row>
    <row r="48" spans="1:2" ht="15.75" customHeight="1" x14ac:dyDescent="0.15">
      <c r="B48" s="8" t="e">
        <f t="array" aca="1" ref="B48" ca="1">XLOOKUP(A48,#REF!,#REF!)</f>
        <v>#NAME?</v>
      </c>
    </row>
    <row r="49" spans="2:2" ht="15.75" customHeight="1" x14ac:dyDescent="0.15">
      <c r="B49" s="8" t="e">
        <f t="array" aca="1" ref="B49" ca="1">XLOOKUP(A49,#REF!,#REF!)</f>
        <v>#NAME?</v>
      </c>
    </row>
    <row r="50" spans="2:2" ht="15.75" customHeight="1" x14ac:dyDescent="0.15">
      <c r="B50" s="8" t="e">
        <f t="array" aca="1" ref="B50" ca="1">XLOOKUP(A50,#REF!,#REF!)</f>
        <v>#NAME?</v>
      </c>
    </row>
    <row r="51" spans="2:2" ht="15.75" customHeight="1" x14ac:dyDescent="0.15">
      <c r="B51" s="8" t="e">
        <f t="array" aca="1" ref="B51" ca="1">XLOOKUP(A51,#REF!,#REF!)</f>
        <v>#NAME?</v>
      </c>
    </row>
    <row r="52" spans="2:2" ht="15.75" customHeight="1" x14ac:dyDescent="0.15">
      <c r="B52" s="8" t="e">
        <f t="array" aca="1" ref="B52" ca="1">XLOOKUP(A52,#REF!,#REF!)</f>
        <v>#NAME?</v>
      </c>
    </row>
    <row r="53" spans="2:2" ht="15.75" customHeight="1" x14ac:dyDescent="0.15">
      <c r="B53" s="8" t="e">
        <f t="array" aca="1" ref="B53" ca="1">XLOOKUP(A53,#REF!,#REF!)</f>
        <v>#NAME?</v>
      </c>
    </row>
    <row r="54" spans="2:2" ht="15.75" customHeight="1" x14ac:dyDescent="0.15">
      <c r="B54" s="8" t="e">
        <f t="array" aca="1" ref="B54" ca="1">XLOOKUP(A54,#REF!,#REF!)</f>
        <v>#NAME?</v>
      </c>
    </row>
    <row r="55" spans="2:2" ht="15.75" customHeight="1" x14ac:dyDescent="0.15">
      <c r="B55" s="8" t="e">
        <f t="array" aca="1" ref="B55" ca="1">XLOOKUP(A55,#REF!,#REF!)</f>
        <v>#NAME?</v>
      </c>
    </row>
    <row r="56" spans="2:2" ht="15.75" customHeight="1" x14ac:dyDescent="0.15">
      <c r="B56" s="8" t="e">
        <f t="array" aca="1" ref="B56" ca="1">XLOOKUP(A56,#REF!,#REF!)</f>
        <v>#NAME?</v>
      </c>
    </row>
    <row r="57" spans="2:2" ht="15.75" customHeight="1" x14ac:dyDescent="0.15">
      <c r="B57" s="8" t="e">
        <f t="array" aca="1" ref="B57" ca="1">XLOOKUP(A57,#REF!,#REF!)</f>
        <v>#NAME?</v>
      </c>
    </row>
    <row r="58" spans="2:2" ht="15.75" customHeight="1" x14ac:dyDescent="0.15">
      <c r="B58" s="8" t="e">
        <f t="array" aca="1" ref="B58" ca="1">XLOOKUP(A58,#REF!,#REF!)</f>
        <v>#NAME?</v>
      </c>
    </row>
    <row r="59" spans="2:2" ht="15.75" customHeight="1" x14ac:dyDescent="0.15">
      <c r="B59" s="8" t="e">
        <f t="array" aca="1" ref="B59" ca="1">XLOOKUP(A59,#REF!,#REF!)</f>
        <v>#NAME?</v>
      </c>
    </row>
    <row r="60" spans="2:2" ht="15.75" customHeight="1" x14ac:dyDescent="0.15">
      <c r="B60" s="8" t="e">
        <f t="array" aca="1" ref="B60" ca="1">XLOOKUP(A60,#REF!,#REF!)</f>
        <v>#NAME?</v>
      </c>
    </row>
    <row r="61" spans="2:2" ht="15.75" customHeight="1" x14ac:dyDescent="0.15">
      <c r="B61" s="8" t="e">
        <f t="array" aca="1" ref="B61" ca="1">XLOOKUP(A61,#REF!,#REF!)</f>
        <v>#NAME?</v>
      </c>
    </row>
    <row r="62" spans="2:2" ht="15.75" customHeight="1" x14ac:dyDescent="0.15">
      <c r="B62" s="8" t="e">
        <f t="array" aca="1" ref="B62" ca="1">XLOOKUP(A62,#REF!,#REF!)</f>
        <v>#NAME?</v>
      </c>
    </row>
    <row r="63" spans="2:2" ht="15.75" customHeight="1" x14ac:dyDescent="0.15">
      <c r="B63" s="8" t="e">
        <f t="array" aca="1" ref="B63" ca="1">XLOOKUP(A63,#REF!,#REF!)</f>
        <v>#NAME?</v>
      </c>
    </row>
    <row r="64" spans="2:2" ht="15.75" customHeight="1" x14ac:dyDescent="0.15">
      <c r="B64" s="8" t="e">
        <f t="array" aca="1" ref="B64" ca="1">XLOOKUP(A64,#REF!,#REF!)</f>
        <v>#NAME?</v>
      </c>
    </row>
    <row r="65" spans="2:2" ht="15.75" customHeight="1" x14ac:dyDescent="0.15">
      <c r="B65" s="8" t="e">
        <f t="array" aca="1" ref="B65" ca="1">XLOOKUP(A65,#REF!,#REF!)</f>
        <v>#NAME?</v>
      </c>
    </row>
    <row r="66" spans="2:2" ht="15.75" customHeight="1" x14ac:dyDescent="0.15">
      <c r="B66" s="8" t="e">
        <f t="array" aca="1" ref="B66" ca="1">XLOOKUP(A66,#REF!,#REF!)</f>
        <v>#NAME?</v>
      </c>
    </row>
    <row r="67" spans="2:2" ht="15.75" customHeight="1" x14ac:dyDescent="0.15">
      <c r="B67" s="8" t="e">
        <f t="array" aca="1" ref="B67" ca="1">XLOOKUP(A67,#REF!,#REF!)</f>
        <v>#NAME?</v>
      </c>
    </row>
    <row r="68" spans="2:2" ht="15.75" customHeight="1" x14ac:dyDescent="0.15">
      <c r="B68" s="8" t="e">
        <f t="array" aca="1" ref="B68" ca="1">XLOOKUP(A68,#REF!,#REF!)</f>
        <v>#NAME?</v>
      </c>
    </row>
    <row r="69" spans="2:2" ht="15.75" customHeight="1" x14ac:dyDescent="0.15">
      <c r="B69" s="8" t="e">
        <f t="array" aca="1" ref="B69" ca="1">XLOOKUP(A69,#REF!,#REF!)</f>
        <v>#NAME?</v>
      </c>
    </row>
    <row r="70" spans="2:2" ht="15.75" customHeight="1" x14ac:dyDescent="0.15">
      <c r="B70" s="8" t="e">
        <f t="array" aca="1" ref="B70" ca="1">XLOOKUP(A70,#REF!,#REF!)</f>
        <v>#NAME?</v>
      </c>
    </row>
    <row r="71" spans="2:2" ht="15.75" customHeight="1" x14ac:dyDescent="0.15">
      <c r="B71" s="8" t="e">
        <f t="array" aca="1" ref="B71" ca="1">XLOOKUP(A71,#REF!,#REF!)</f>
        <v>#NAME?</v>
      </c>
    </row>
    <row r="72" spans="2:2" ht="15.75" customHeight="1" x14ac:dyDescent="0.15">
      <c r="B72" s="8" t="e">
        <f t="array" aca="1" ref="B72" ca="1">XLOOKUP(A72,#REF!,#REF!)</f>
        <v>#NAME?</v>
      </c>
    </row>
    <row r="73" spans="2:2" ht="15.75" customHeight="1" x14ac:dyDescent="0.15">
      <c r="B73" s="8" t="e">
        <f t="array" aca="1" ref="B73" ca="1">XLOOKUP(A73,#REF!,#REF!)</f>
        <v>#NAME?</v>
      </c>
    </row>
    <row r="74" spans="2:2" ht="15.75" customHeight="1" x14ac:dyDescent="0.15">
      <c r="B74" s="8" t="e">
        <f t="array" aca="1" ref="B74" ca="1">XLOOKUP(A74,#REF!,#REF!)</f>
        <v>#NAME?</v>
      </c>
    </row>
    <row r="75" spans="2:2" ht="15.75" customHeight="1" x14ac:dyDescent="0.15">
      <c r="B75" s="8" t="e">
        <f t="array" aca="1" ref="B75" ca="1">XLOOKUP(A75,#REF!,#REF!)</f>
        <v>#NAME?</v>
      </c>
    </row>
    <row r="76" spans="2:2" ht="15.75" customHeight="1" x14ac:dyDescent="0.15">
      <c r="B76" s="8" t="e">
        <f t="array" aca="1" ref="B76" ca="1">XLOOKUP(A76,#REF!,#REF!)</f>
        <v>#NAME?</v>
      </c>
    </row>
    <row r="77" spans="2:2" ht="15.75" customHeight="1" x14ac:dyDescent="0.15">
      <c r="B77" s="8" t="e">
        <f t="array" aca="1" ref="B77" ca="1">XLOOKUP(A77,#REF!,#REF!)</f>
        <v>#NAME?</v>
      </c>
    </row>
    <row r="78" spans="2:2" ht="15.75" customHeight="1" x14ac:dyDescent="0.15">
      <c r="B78" s="8" t="e">
        <f t="array" aca="1" ref="B78" ca="1">XLOOKUP(A78,#REF!,#REF!)</f>
        <v>#NAME?</v>
      </c>
    </row>
    <row r="79" spans="2:2" ht="15.75" customHeight="1" x14ac:dyDescent="0.15">
      <c r="B79" s="8" t="e">
        <f t="array" aca="1" ref="B79" ca="1">XLOOKUP(A79,#REF!,#REF!)</f>
        <v>#NAME?</v>
      </c>
    </row>
    <row r="80" spans="2:2" ht="15.75" customHeight="1" x14ac:dyDescent="0.15">
      <c r="B80" s="8" t="e">
        <f t="array" aca="1" ref="B80" ca="1">XLOOKUP(A80,#REF!,#REF!)</f>
        <v>#NAME?</v>
      </c>
    </row>
    <row r="81" spans="2:2" ht="15.75" customHeight="1" x14ac:dyDescent="0.15">
      <c r="B81" s="8" t="e">
        <f t="array" aca="1" ref="B81" ca="1">XLOOKUP(A81,#REF!,#REF!)</f>
        <v>#NAME?</v>
      </c>
    </row>
    <row r="82" spans="2:2" ht="15.75" customHeight="1" x14ac:dyDescent="0.15">
      <c r="B82" s="8" t="e">
        <f t="array" aca="1" ref="B82" ca="1">XLOOKUP(A82,#REF!,#REF!)</f>
        <v>#NAME?</v>
      </c>
    </row>
    <row r="83" spans="2:2" ht="15.75" customHeight="1" x14ac:dyDescent="0.15">
      <c r="B83" s="8" t="e">
        <f t="array" aca="1" ref="B83" ca="1">XLOOKUP(A83,#REF!,#REF!)</f>
        <v>#NAME?</v>
      </c>
    </row>
    <row r="84" spans="2:2" ht="15.75" customHeight="1" x14ac:dyDescent="0.15">
      <c r="B84" s="8" t="e">
        <f t="array" aca="1" ref="B84" ca="1">XLOOKUP(A84,#REF!,#REF!)</f>
        <v>#NAME?</v>
      </c>
    </row>
    <row r="85" spans="2:2" ht="15.75" customHeight="1" x14ac:dyDescent="0.15">
      <c r="B85" s="8" t="e">
        <f t="array" aca="1" ref="B85" ca="1">XLOOKUP(A85,#REF!,#REF!)</f>
        <v>#NAME?</v>
      </c>
    </row>
    <row r="86" spans="2:2" ht="15.75" customHeight="1" x14ac:dyDescent="0.15">
      <c r="B86" s="8" t="e">
        <f t="array" aca="1" ref="B86" ca="1">XLOOKUP(A86,#REF!,#REF!)</f>
        <v>#NAME?</v>
      </c>
    </row>
    <row r="87" spans="2:2" ht="15.75" customHeight="1" x14ac:dyDescent="0.15">
      <c r="B87" s="8" t="e">
        <f t="array" aca="1" ref="B87" ca="1">XLOOKUP(A87,#REF!,#REF!)</f>
        <v>#NAME?</v>
      </c>
    </row>
    <row r="88" spans="2:2" ht="15.75" customHeight="1" x14ac:dyDescent="0.15">
      <c r="B88" s="8" t="e">
        <f t="array" aca="1" ref="B88" ca="1">XLOOKUP(A88,#REF!,#REF!)</f>
        <v>#NAME?</v>
      </c>
    </row>
    <row r="89" spans="2:2" ht="15.75" customHeight="1" x14ac:dyDescent="0.15">
      <c r="B89" s="8" t="e">
        <f t="array" aca="1" ref="B89" ca="1">XLOOKUP(A89,#REF!,#REF!)</f>
        <v>#NAME?</v>
      </c>
    </row>
    <row r="90" spans="2:2" ht="13" x14ac:dyDescent="0.15">
      <c r="B90" s="8" t="e">
        <f t="array" aca="1" ref="B90" ca="1">XLOOKUP(A90,#REF!,#REF!)</f>
        <v>#NAME?</v>
      </c>
    </row>
    <row r="91" spans="2:2" ht="13" x14ac:dyDescent="0.15">
      <c r="B91" s="8" t="e">
        <f t="array" aca="1" ref="B91" ca="1">XLOOKUP(A91,#REF!,#REF!)</f>
        <v>#NAME?</v>
      </c>
    </row>
    <row r="92" spans="2:2" ht="13" x14ac:dyDescent="0.15">
      <c r="B92" s="8" t="e">
        <f t="array" aca="1" ref="B92" ca="1">XLOOKUP(A92,#REF!,#REF!)</f>
        <v>#NAME?</v>
      </c>
    </row>
    <row r="93" spans="2:2" ht="13" x14ac:dyDescent="0.15">
      <c r="B93" s="8" t="e">
        <f t="array" aca="1" ref="B93" ca="1">XLOOKUP(A93,#REF!,#REF!)</f>
        <v>#NAME?</v>
      </c>
    </row>
    <row r="94" spans="2:2" ht="13" x14ac:dyDescent="0.15">
      <c r="B94" s="8" t="e">
        <f t="array" aca="1" ref="B94" ca="1">XLOOKUP(A94,#REF!,#REF!)</f>
        <v>#NAME?</v>
      </c>
    </row>
    <row r="95" spans="2:2" ht="13" x14ac:dyDescent="0.15">
      <c r="B95" s="8" t="e">
        <f t="array" aca="1" ref="B95" ca="1">XLOOKUP(A95,#REF!,#REF!)</f>
        <v>#NAME?</v>
      </c>
    </row>
    <row r="96" spans="2:2" ht="13" x14ac:dyDescent="0.15">
      <c r="B96" s="8" t="e">
        <f t="array" aca="1" ref="B96" ca="1">XLOOKUP(A96,#REF!,#REF!)</f>
        <v>#NAME?</v>
      </c>
    </row>
    <row r="97" spans="2:2" ht="13" x14ac:dyDescent="0.15">
      <c r="B97" s="8" t="e">
        <f t="array" aca="1" ref="B97" ca="1">XLOOKUP(A97,#REF!,#REF!)</f>
        <v>#NAME?</v>
      </c>
    </row>
    <row r="98" spans="2:2" ht="13" x14ac:dyDescent="0.15">
      <c r="B98" s="8" t="e">
        <f t="array" aca="1" ref="B98" ca="1">XLOOKUP(A98,#REF!,#REF!)</f>
        <v>#NAME?</v>
      </c>
    </row>
    <row r="99" spans="2:2" ht="13" x14ac:dyDescent="0.15">
      <c r="B99" s="8" t="e">
        <f t="array" aca="1" ref="B99" ca="1">XLOOKUP(A99,#REF!,#REF!)</f>
        <v>#NAME?</v>
      </c>
    </row>
    <row r="100" spans="2:2" ht="13" x14ac:dyDescent="0.15">
      <c r="B100" s="8" t="e">
        <f t="array" aca="1" ref="B100" ca="1">XLOOKUP(A100,#REF!,#REF!)</f>
        <v>#NAME?</v>
      </c>
    </row>
    <row r="101" spans="2:2" ht="13" x14ac:dyDescent="0.15">
      <c r="B101" s="8" t="e">
        <f t="array" aca="1" ref="B101" ca="1">XLOOKUP(A101,#REF!,#REF!)</f>
        <v>#NAME?</v>
      </c>
    </row>
    <row r="102" spans="2:2" ht="13" x14ac:dyDescent="0.15">
      <c r="B102" s="8" t="e">
        <f t="array" aca="1" ref="B102" ca="1">XLOOKUP(A102,#REF!,#REF!)</f>
        <v>#NAME?</v>
      </c>
    </row>
    <row r="103" spans="2:2" ht="13" x14ac:dyDescent="0.15">
      <c r="B103" s="8" t="e">
        <f t="array" aca="1" ref="B103" ca="1">XLOOKUP(A103,#REF!,#REF!)</f>
        <v>#NAME?</v>
      </c>
    </row>
    <row r="104" spans="2:2" ht="13" x14ac:dyDescent="0.15">
      <c r="B104" s="8" t="e">
        <f t="array" aca="1" ref="B104" ca="1">XLOOKUP(A104,#REF!,#REF!)</f>
        <v>#NAME?</v>
      </c>
    </row>
    <row r="105" spans="2:2" ht="13" x14ac:dyDescent="0.15">
      <c r="B105" s="8" t="e">
        <f t="array" aca="1" ref="B105" ca="1">XLOOKUP(A105,#REF!,#REF!)</f>
        <v>#NAME?</v>
      </c>
    </row>
    <row r="106" spans="2:2" ht="13" x14ac:dyDescent="0.15">
      <c r="B106" s="8" t="e">
        <f t="array" aca="1" ref="B106" ca="1">XLOOKUP(A106,#REF!,#REF!)</f>
        <v>#NAME?</v>
      </c>
    </row>
    <row r="107" spans="2:2" ht="13" x14ac:dyDescent="0.15">
      <c r="B107" s="8" t="e">
        <f t="array" aca="1" ref="B107" ca="1">XLOOKUP(A107,#REF!,#REF!)</f>
        <v>#NAME?</v>
      </c>
    </row>
    <row r="108" spans="2:2" ht="13" x14ac:dyDescent="0.15">
      <c r="B108" s="8" t="e">
        <f t="array" aca="1" ref="B108" ca="1">XLOOKUP(A108,#REF!,#REF!)</f>
        <v>#NAME?</v>
      </c>
    </row>
    <row r="109" spans="2:2" ht="13" x14ac:dyDescent="0.15">
      <c r="B109" s="8" t="e">
        <f t="array" aca="1" ref="B109" ca="1">XLOOKUP(A109,#REF!,#REF!)</f>
        <v>#NAME?</v>
      </c>
    </row>
    <row r="110" spans="2:2" ht="13" x14ac:dyDescent="0.15">
      <c r="B110" s="8" t="e">
        <f t="array" aca="1" ref="B110" ca="1">XLOOKUP(A110,#REF!,#REF!)</f>
        <v>#NAME?</v>
      </c>
    </row>
    <row r="111" spans="2:2" ht="13" x14ac:dyDescent="0.15">
      <c r="B111" s="8" t="e">
        <f t="array" aca="1" ref="B111" ca="1">XLOOKUP(A111,#REF!,#REF!)</f>
        <v>#NAME?</v>
      </c>
    </row>
    <row r="112" spans="2:2" ht="13" x14ac:dyDescent="0.15">
      <c r="B112" s="8" t="e">
        <f t="array" aca="1" ref="B112" ca="1">XLOOKUP(A112,#REF!,#REF!)</f>
        <v>#NAME?</v>
      </c>
    </row>
    <row r="113" spans="2:2" ht="13" x14ac:dyDescent="0.15">
      <c r="B113" s="8" t="e">
        <f t="array" aca="1" ref="B113" ca="1">XLOOKUP(A113,#REF!,#REF!)</f>
        <v>#NAME?</v>
      </c>
    </row>
    <row r="114" spans="2:2" ht="13" x14ac:dyDescent="0.15">
      <c r="B114" s="8" t="e">
        <f t="array" aca="1" ref="B114" ca="1">XLOOKUP(A114,#REF!,#REF!)</f>
        <v>#NAME?</v>
      </c>
    </row>
    <row r="115" spans="2:2" ht="13" x14ac:dyDescent="0.15">
      <c r="B115" s="8" t="e">
        <f t="array" aca="1" ref="B115" ca="1">XLOOKUP(A115,#REF!,#REF!)</f>
        <v>#NAME?</v>
      </c>
    </row>
    <row r="116" spans="2:2" ht="13" x14ac:dyDescent="0.15">
      <c r="B116" s="8" t="e">
        <f t="array" aca="1" ref="B116" ca="1">XLOOKUP(A116,#REF!,#REF!)</f>
        <v>#NAME?</v>
      </c>
    </row>
    <row r="117" spans="2:2" ht="13" x14ac:dyDescent="0.15">
      <c r="B117" s="8" t="e">
        <f t="array" aca="1" ref="B117" ca="1">XLOOKUP(A117,#REF!,#REF!)</f>
        <v>#NAME?</v>
      </c>
    </row>
    <row r="118" spans="2:2" ht="13" x14ac:dyDescent="0.15">
      <c r="B118" s="8" t="e">
        <f t="array" aca="1" ref="B118" ca="1">XLOOKUP(A118,#REF!,#REF!)</f>
        <v>#NAME?</v>
      </c>
    </row>
    <row r="119" spans="2:2" ht="13" x14ac:dyDescent="0.15">
      <c r="B119" s="8" t="e">
        <f t="array" aca="1" ref="B119" ca="1">XLOOKUP(A119,#REF!,#REF!)</f>
        <v>#NAME?</v>
      </c>
    </row>
    <row r="120" spans="2:2" ht="13" x14ac:dyDescent="0.15">
      <c r="B120" s="8" t="e">
        <f t="array" aca="1" ref="B120" ca="1">XLOOKUP(A120,#REF!,#REF!)</f>
        <v>#NAME?</v>
      </c>
    </row>
    <row r="121" spans="2:2" ht="13" x14ac:dyDescent="0.15">
      <c r="B121" s="8" t="e">
        <f t="array" aca="1" ref="B121" ca="1">XLOOKUP(A121,#REF!,#REF!)</f>
        <v>#NAME?</v>
      </c>
    </row>
    <row r="122" spans="2:2" ht="13" x14ac:dyDescent="0.15">
      <c r="B122" s="8" t="e">
        <f t="array" aca="1" ref="B122" ca="1">XLOOKUP(A122,#REF!,#REF!)</f>
        <v>#NAME?</v>
      </c>
    </row>
    <row r="123" spans="2:2" ht="13" x14ac:dyDescent="0.15">
      <c r="B123" s="8" t="e">
        <f t="array" aca="1" ref="B123" ca="1">XLOOKUP(A123,#REF!,#REF!)</f>
        <v>#NAME?</v>
      </c>
    </row>
    <row r="124" spans="2:2" ht="13" x14ac:dyDescent="0.15">
      <c r="B124" s="8" t="e">
        <f t="array" aca="1" ref="B124" ca="1">XLOOKUP(A124,#REF!,#REF!)</f>
        <v>#NAME?</v>
      </c>
    </row>
    <row r="125" spans="2:2" ht="13" x14ac:dyDescent="0.15">
      <c r="B125" s="8" t="e">
        <f t="array" aca="1" ref="B125" ca="1">XLOOKUP(A125,#REF!,#REF!)</f>
        <v>#NAME?</v>
      </c>
    </row>
    <row r="126" spans="2:2" ht="13" x14ac:dyDescent="0.15">
      <c r="B126" s="8" t="e">
        <f t="array" aca="1" ref="B126" ca="1">XLOOKUP(A126,#REF!,#REF!)</f>
        <v>#NAME?</v>
      </c>
    </row>
    <row r="127" spans="2:2" ht="13" x14ac:dyDescent="0.15">
      <c r="B127" s="8" t="e">
        <f t="array" aca="1" ref="B127" ca="1">XLOOKUP(A127,#REF!,#REF!)</f>
        <v>#NAME?</v>
      </c>
    </row>
    <row r="128" spans="2:2" ht="13" x14ac:dyDescent="0.15">
      <c r="B128" s="8" t="e">
        <f t="array" aca="1" ref="B128" ca="1">XLOOKUP(A128,#REF!,#REF!)</f>
        <v>#NAME?</v>
      </c>
    </row>
    <row r="129" spans="2:2" ht="13" x14ac:dyDescent="0.15">
      <c r="B129" s="8" t="e">
        <f t="array" aca="1" ref="B129" ca="1">XLOOKUP(A129,#REF!,#REF!)</f>
        <v>#NAME?</v>
      </c>
    </row>
    <row r="130" spans="2:2" ht="13" x14ac:dyDescent="0.15">
      <c r="B130" s="8" t="e">
        <f t="array" aca="1" ref="B130" ca="1">XLOOKUP(A130,#REF!,#REF!)</f>
        <v>#NAME?</v>
      </c>
    </row>
    <row r="131" spans="2:2" ht="13" x14ac:dyDescent="0.15">
      <c r="B131" s="8" t="e">
        <f t="array" aca="1" ref="B131" ca="1">XLOOKUP(A131,#REF!,#REF!)</f>
        <v>#NAME?</v>
      </c>
    </row>
    <row r="132" spans="2:2" ht="13" x14ac:dyDescent="0.15">
      <c r="B132" s="8" t="e">
        <f t="array" aca="1" ref="B132" ca="1">XLOOKUP(A132,#REF!,#REF!)</f>
        <v>#NAME?</v>
      </c>
    </row>
    <row r="133" spans="2:2" ht="13" x14ac:dyDescent="0.15">
      <c r="B133" s="8" t="e">
        <f t="array" aca="1" ref="B133" ca="1">XLOOKUP(A133,#REF!,#REF!)</f>
        <v>#NAME?</v>
      </c>
    </row>
    <row r="134" spans="2:2" ht="13" x14ac:dyDescent="0.15">
      <c r="B134" s="8" t="e">
        <f t="array" aca="1" ref="B134" ca="1">XLOOKUP(A134,#REF!,#REF!)</f>
        <v>#NAME?</v>
      </c>
    </row>
    <row r="135" spans="2:2" ht="13" x14ac:dyDescent="0.15">
      <c r="B135" s="8" t="e">
        <f t="array" aca="1" ref="B135" ca="1">XLOOKUP(A135,#REF!,#REF!)</f>
        <v>#NAME?</v>
      </c>
    </row>
    <row r="136" spans="2:2" ht="13" x14ac:dyDescent="0.15">
      <c r="B136" s="8" t="e">
        <f t="array" aca="1" ref="B136" ca="1">XLOOKUP(A136,#REF!,#REF!)</f>
        <v>#NAME?</v>
      </c>
    </row>
    <row r="137" spans="2:2" ht="13" x14ac:dyDescent="0.15">
      <c r="B137" s="8" t="e">
        <f t="array" aca="1" ref="B137" ca="1">XLOOKUP(A137,#REF!,#REF!)</f>
        <v>#NAME?</v>
      </c>
    </row>
    <row r="138" spans="2:2" ht="13" x14ac:dyDescent="0.15">
      <c r="B138" s="8" t="e">
        <f t="array" aca="1" ref="B138" ca="1">XLOOKUP(A138,#REF!,#REF!)</f>
        <v>#NAME?</v>
      </c>
    </row>
    <row r="139" spans="2:2" ht="13" x14ac:dyDescent="0.15">
      <c r="B139" s="8" t="e">
        <f t="array" aca="1" ref="B139" ca="1">XLOOKUP(A139,#REF!,#REF!)</f>
        <v>#NAME?</v>
      </c>
    </row>
    <row r="140" spans="2:2" ht="13" x14ac:dyDescent="0.15">
      <c r="B140" s="8" t="e">
        <f t="array" aca="1" ref="B140" ca="1">XLOOKUP(A140,#REF!,#REF!)</f>
        <v>#NAME?</v>
      </c>
    </row>
    <row r="141" spans="2:2" ht="13" x14ac:dyDescent="0.15">
      <c r="B141" s="8" t="e">
        <f t="array" aca="1" ref="B141" ca="1">XLOOKUP(A141,#REF!,#REF!)</f>
        <v>#NAME?</v>
      </c>
    </row>
    <row r="142" spans="2:2" ht="13" x14ac:dyDescent="0.15">
      <c r="B142" s="8" t="e">
        <f t="array" aca="1" ref="B142" ca="1">XLOOKUP(A142,#REF!,#REF!)</f>
        <v>#NAME?</v>
      </c>
    </row>
    <row r="143" spans="2:2" ht="13" x14ac:dyDescent="0.15">
      <c r="B143" s="8" t="e">
        <f t="array" aca="1" ref="B143" ca="1">XLOOKUP(A143,#REF!,#REF!)</f>
        <v>#NAME?</v>
      </c>
    </row>
    <row r="144" spans="2:2" ht="13" x14ac:dyDescent="0.15">
      <c r="B144" s="8" t="e">
        <f t="array" aca="1" ref="B144" ca="1">XLOOKUP(A144,#REF!,#REF!)</f>
        <v>#NAME?</v>
      </c>
    </row>
    <row r="145" spans="2:2" ht="13" x14ac:dyDescent="0.15">
      <c r="B145" s="8" t="e">
        <f t="array" aca="1" ref="B145" ca="1">XLOOKUP(A145,#REF!,#REF!)</f>
        <v>#NAME?</v>
      </c>
    </row>
    <row r="146" spans="2:2" ht="13" x14ac:dyDescent="0.15">
      <c r="B146" s="8" t="e">
        <f t="array" aca="1" ref="B146" ca="1">XLOOKUP(A146,#REF!,#REF!)</f>
        <v>#NAME?</v>
      </c>
    </row>
    <row r="147" spans="2:2" ht="13" x14ac:dyDescent="0.15">
      <c r="B147" s="8" t="e">
        <f t="array" aca="1" ref="B147" ca="1">XLOOKUP(A147,#REF!,#REF!)</f>
        <v>#NAME?</v>
      </c>
    </row>
    <row r="148" spans="2:2" ht="13" x14ac:dyDescent="0.15">
      <c r="B148" s="8" t="e">
        <f t="array" aca="1" ref="B148" ca="1">XLOOKUP(A148,#REF!,#REF!)</f>
        <v>#NAME?</v>
      </c>
    </row>
    <row r="149" spans="2:2" ht="13" x14ac:dyDescent="0.15">
      <c r="B149" s="8" t="e">
        <f t="array" aca="1" ref="B149" ca="1">XLOOKUP(A149,#REF!,#REF!)</f>
        <v>#NAME?</v>
      </c>
    </row>
    <row r="150" spans="2:2" ht="13" x14ac:dyDescent="0.15">
      <c r="B150" s="8" t="e">
        <f t="array" aca="1" ref="B150" ca="1">XLOOKUP(A150,#REF!,#REF!)</f>
        <v>#NAME?</v>
      </c>
    </row>
    <row r="151" spans="2:2" ht="13" x14ac:dyDescent="0.15">
      <c r="B151" s="8" t="e">
        <f t="array" aca="1" ref="B151" ca="1">XLOOKUP(A151,#REF!,#REF!)</f>
        <v>#NAME?</v>
      </c>
    </row>
    <row r="152" spans="2:2" ht="13" x14ac:dyDescent="0.15">
      <c r="B152" s="8" t="e">
        <f t="array" aca="1" ref="B152" ca="1">XLOOKUP(A152,#REF!,#REF!)</f>
        <v>#NAME?</v>
      </c>
    </row>
    <row r="153" spans="2:2" ht="13" x14ac:dyDescent="0.15">
      <c r="B153" s="8" t="e">
        <f t="array" aca="1" ref="B153" ca="1">XLOOKUP(A153,#REF!,#REF!)</f>
        <v>#NAME?</v>
      </c>
    </row>
    <row r="154" spans="2:2" ht="13" x14ac:dyDescent="0.15">
      <c r="B154" s="8" t="e">
        <f t="array" aca="1" ref="B154" ca="1">XLOOKUP(A154,#REF!,#REF!)</f>
        <v>#NAME?</v>
      </c>
    </row>
    <row r="155" spans="2:2" ht="13" x14ac:dyDescent="0.15">
      <c r="B155" s="8" t="e">
        <f t="array" aca="1" ref="B155" ca="1">XLOOKUP(A155,#REF!,#REF!)</f>
        <v>#NAME?</v>
      </c>
    </row>
    <row r="156" spans="2:2" ht="13" x14ac:dyDescent="0.15">
      <c r="B156" s="8" t="e">
        <f t="array" aca="1" ref="B156" ca="1">XLOOKUP(A156,#REF!,#REF!)</f>
        <v>#NAME?</v>
      </c>
    </row>
    <row r="157" spans="2:2" ht="13" x14ac:dyDescent="0.15">
      <c r="B157" s="8" t="e">
        <f t="array" aca="1" ref="B157" ca="1">XLOOKUP(A157,#REF!,#REF!)</f>
        <v>#NAME?</v>
      </c>
    </row>
    <row r="158" spans="2:2" ht="13" x14ac:dyDescent="0.15">
      <c r="B158" s="8" t="e">
        <f t="array" aca="1" ref="B158" ca="1">XLOOKUP(A158,#REF!,#REF!)</f>
        <v>#NAME?</v>
      </c>
    </row>
    <row r="159" spans="2:2" ht="13" x14ac:dyDescent="0.15">
      <c r="B159" s="8" t="e">
        <f t="array" aca="1" ref="B159" ca="1">XLOOKUP(A159,#REF!,#REF!)</f>
        <v>#NAME?</v>
      </c>
    </row>
    <row r="160" spans="2:2" ht="13" x14ac:dyDescent="0.15">
      <c r="B160" s="8" t="e">
        <f t="array" aca="1" ref="B160" ca="1">XLOOKUP(A160,#REF!,#REF!)</f>
        <v>#NAME?</v>
      </c>
    </row>
    <row r="161" spans="2:2" ht="13" x14ac:dyDescent="0.15">
      <c r="B161" s="8" t="e">
        <f t="array" aca="1" ref="B161" ca="1">XLOOKUP(A161,#REF!,#REF!)</f>
        <v>#NAME?</v>
      </c>
    </row>
    <row r="162" spans="2:2" ht="13" x14ac:dyDescent="0.15">
      <c r="B162" s="8" t="e">
        <f t="array" aca="1" ref="B162" ca="1">XLOOKUP(A162,#REF!,#REF!)</f>
        <v>#NAME?</v>
      </c>
    </row>
    <row r="163" spans="2:2" ht="13" x14ac:dyDescent="0.15">
      <c r="B163" s="8" t="e">
        <f t="array" aca="1" ref="B163" ca="1">XLOOKUP(A163,#REF!,#REF!)</f>
        <v>#NAME?</v>
      </c>
    </row>
    <row r="164" spans="2:2" ht="13" x14ac:dyDescent="0.15">
      <c r="B164" s="8" t="e">
        <f t="array" aca="1" ref="B164" ca="1">XLOOKUP(A164,#REF!,#REF!)</f>
        <v>#NAME?</v>
      </c>
    </row>
    <row r="165" spans="2:2" ht="13" x14ac:dyDescent="0.15">
      <c r="B165" s="8" t="e">
        <f t="array" aca="1" ref="B165" ca="1">XLOOKUP(A165,#REF!,#REF!)</f>
        <v>#NAME?</v>
      </c>
    </row>
    <row r="166" spans="2:2" ht="13" x14ac:dyDescent="0.15">
      <c r="B166" s="8" t="e">
        <f t="array" aca="1" ref="B166" ca="1">XLOOKUP(A166,#REF!,#REF!)</f>
        <v>#NAME?</v>
      </c>
    </row>
    <row r="167" spans="2:2" ht="13" x14ac:dyDescent="0.15">
      <c r="B167" s="8" t="e">
        <f t="array" aca="1" ref="B167" ca="1">XLOOKUP(A167,#REF!,#REF!)</f>
        <v>#NAME?</v>
      </c>
    </row>
    <row r="168" spans="2:2" ht="13" x14ac:dyDescent="0.15">
      <c r="B168" s="8" t="e">
        <f t="array" aca="1" ref="B168" ca="1">XLOOKUP(A168,#REF!,#REF!)</f>
        <v>#NAME?</v>
      </c>
    </row>
    <row r="169" spans="2:2" ht="13" x14ac:dyDescent="0.15">
      <c r="B169" s="8" t="e">
        <f t="array" aca="1" ref="B169" ca="1">XLOOKUP(A169,#REF!,#REF!)</f>
        <v>#NAME?</v>
      </c>
    </row>
    <row r="170" spans="2:2" ht="13" x14ac:dyDescent="0.15">
      <c r="B170" s="8" t="e">
        <f t="array" aca="1" ref="B170" ca="1">XLOOKUP(A170,#REF!,#REF!)</f>
        <v>#NAME?</v>
      </c>
    </row>
    <row r="171" spans="2:2" ht="13" x14ac:dyDescent="0.15">
      <c r="B171" s="8" t="e">
        <f t="array" aca="1" ref="B171" ca="1">XLOOKUP(A171,#REF!,#REF!)</f>
        <v>#NAME?</v>
      </c>
    </row>
    <row r="172" spans="2:2" ht="13" x14ac:dyDescent="0.15">
      <c r="B172" s="8" t="e">
        <f t="array" aca="1" ref="B172" ca="1">XLOOKUP(A172,#REF!,#REF!)</f>
        <v>#NAME?</v>
      </c>
    </row>
    <row r="173" spans="2:2" ht="13" x14ac:dyDescent="0.15">
      <c r="B173" s="8" t="e">
        <f t="array" aca="1" ref="B173" ca="1">XLOOKUP(A173,#REF!,#REF!)</f>
        <v>#NAME?</v>
      </c>
    </row>
    <row r="174" spans="2:2" ht="13" x14ac:dyDescent="0.15">
      <c r="B174" s="8" t="e">
        <f t="array" aca="1" ref="B174" ca="1">XLOOKUP(A174,#REF!,#REF!)</f>
        <v>#NAME?</v>
      </c>
    </row>
    <row r="175" spans="2:2" ht="13" x14ac:dyDescent="0.15">
      <c r="B175" s="8" t="e">
        <f t="array" aca="1" ref="B175" ca="1">XLOOKUP(A175,#REF!,#REF!)</f>
        <v>#NAME?</v>
      </c>
    </row>
    <row r="176" spans="2:2" ht="13" x14ac:dyDescent="0.15">
      <c r="B176" s="8" t="e">
        <f t="array" aca="1" ref="B176" ca="1">XLOOKUP(A176,#REF!,#REF!)</f>
        <v>#NAME?</v>
      </c>
    </row>
    <row r="177" spans="2:2" ht="13" x14ac:dyDescent="0.15">
      <c r="B177" s="8" t="e">
        <f t="array" aca="1" ref="B177" ca="1">XLOOKUP(A177,#REF!,#REF!)</f>
        <v>#NAME?</v>
      </c>
    </row>
    <row r="178" spans="2:2" ht="13" x14ac:dyDescent="0.15">
      <c r="B178" s="8" t="e">
        <f t="array" aca="1" ref="B178" ca="1">XLOOKUP(A178,#REF!,#REF!)</f>
        <v>#NAME?</v>
      </c>
    </row>
    <row r="179" spans="2:2" ht="13" x14ac:dyDescent="0.15">
      <c r="B179" s="8" t="e">
        <f t="array" aca="1" ref="B179" ca="1">XLOOKUP(A179,#REF!,#REF!)</f>
        <v>#NAME?</v>
      </c>
    </row>
    <row r="180" spans="2:2" ht="13" x14ac:dyDescent="0.15">
      <c r="B180" s="8" t="e">
        <f t="array" aca="1" ref="B180" ca="1">XLOOKUP(A180,#REF!,#REF!)</f>
        <v>#NAME?</v>
      </c>
    </row>
    <row r="181" spans="2:2" ht="13" x14ac:dyDescent="0.15">
      <c r="B181" s="8" t="e">
        <f t="array" aca="1" ref="B181" ca="1">XLOOKUP(A181,#REF!,#REF!)</f>
        <v>#NAME?</v>
      </c>
    </row>
    <row r="182" spans="2:2" ht="13" x14ac:dyDescent="0.15">
      <c r="B182" s="8" t="e">
        <f t="array" aca="1" ref="B182" ca="1">XLOOKUP(A182,#REF!,#REF!)</f>
        <v>#NAME?</v>
      </c>
    </row>
    <row r="183" spans="2:2" ht="13" x14ac:dyDescent="0.15">
      <c r="B183" s="8" t="e">
        <f t="array" aca="1" ref="B183" ca="1">XLOOKUP(A183,#REF!,#REF!)</f>
        <v>#NAME?</v>
      </c>
    </row>
    <row r="184" spans="2:2" ht="13" x14ac:dyDescent="0.15">
      <c r="B184" s="8" t="e">
        <f t="array" aca="1" ref="B184" ca="1">XLOOKUP(A184,#REF!,#REF!)</f>
        <v>#NAME?</v>
      </c>
    </row>
    <row r="185" spans="2:2" ht="13" x14ac:dyDescent="0.15">
      <c r="B185" s="8" t="e">
        <f t="array" aca="1" ref="B185" ca="1">XLOOKUP(A185,#REF!,#REF!)</f>
        <v>#NAME?</v>
      </c>
    </row>
    <row r="186" spans="2:2" ht="13" x14ac:dyDescent="0.15">
      <c r="B186" s="8" t="e">
        <f t="array" aca="1" ref="B186" ca="1">XLOOKUP(A186,#REF!,#REF!)</f>
        <v>#NAME?</v>
      </c>
    </row>
    <row r="187" spans="2:2" ht="13" x14ac:dyDescent="0.15">
      <c r="B187" s="8" t="e">
        <f t="array" aca="1" ref="B187" ca="1">XLOOKUP(A187,#REF!,#REF!)</f>
        <v>#NAME?</v>
      </c>
    </row>
    <row r="188" spans="2:2" ht="13" x14ac:dyDescent="0.15">
      <c r="B188" s="8" t="e">
        <f t="array" aca="1" ref="B188" ca="1">XLOOKUP(A188,#REF!,#REF!)</f>
        <v>#NAME?</v>
      </c>
    </row>
    <row r="189" spans="2:2" ht="13" x14ac:dyDescent="0.15">
      <c r="B189" s="8" t="e">
        <f t="array" aca="1" ref="B189" ca="1">XLOOKUP(A189,#REF!,#REF!)</f>
        <v>#NAME?</v>
      </c>
    </row>
    <row r="190" spans="2:2" ht="13" x14ac:dyDescent="0.15">
      <c r="B190" s="8" t="e">
        <f t="array" aca="1" ref="B190" ca="1">XLOOKUP(A190,#REF!,#REF!)</f>
        <v>#NAME?</v>
      </c>
    </row>
    <row r="191" spans="2:2" ht="13" x14ac:dyDescent="0.15">
      <c r="B191" s="8" t="e">
        <f t="array" aca="1" ref="B191" ca="1">XLOOKUP(A191,#REF!,#REF!)</f>
        <v>#NAME?</v>
      </c>
    </row>
    <row r="192" spans="2:2" ht="13" x14ac:dyDescent="0.15">
      <c r="B192" s="8" t="e">
        <f t="array" aca="1" ref="B192" ca="1">XLOOKUP(A192,#REF!,#REF!)</f>
        <v>#NAME?</v>
      </c>
    </row>
    <row r="193" spans="2:2" ht="13" x14ac:dyDescent="0.15">
      <c r="B193" s="8" t="e">
        <f t="array" aca="1" ref="B193" ca="1">XLOOKUP(A193,#REF!,#REF!)</f>
        <v>#NAME?</v>
      </c>
    </row>
    <row r="194" spans="2:2" ht="13" x14ac:dyDescent="0.15">
      <c r="B194" s="8" t="e">
        <f t="array" aca="1" ref="B194" ca="1">XLOOKUP(A194,#REF!,#REF!)</f>
        <v>#NAME?</v>
      </c>
    </row>
    <row r="195" spans="2:2" ht="13" x14ac:dyDescent="0.15">
      <c r="B195" s="8" t="e">
        <f t="array" aca="1" ref="B195" ca="1">XLOOKUP(A195,#REF!,#REF!)</f>
        <v>#NAME?</v>
      </c>
    </row>
    <row r="196" spans="2:2" ht="13" x14ac:dyDescent="0.15">
      <c r="B196" s="8" t="e">
        <f t="array" aca="1" ref="B196" ca="1">XLOOKUP(A196,#REF!,#REF!)</f>
        <v>#NAME?</v>
      </c>
    </row>
    <row r="197" spans="2:2" ht="13" x14ac:dyDescent="0.15">
      <c r="B197" s="8" t="e">
        <f t="array" aca="1" ref="B197" ca="1">XLOOKUP(A197,#REF!,#REF!)</f>
        <v>#NAME?</v>
      </c>
    </row>
    <row r="198" spans="2:2" ht="13" x14ac:dyDescent="0.15">
      <c r="B198" s="8" t="e">
        <f t="array" aca="1" ref="B198" ca="1">XLOOKUP(A198,#REF!,#REF!)</f>
        <v>#NAME?</v>
      </c>
    </row>
    <row r="199" spans="2:2" ht="13" x14ac:dyDescent="0.15">
      <c r="B199" s="8" t="e">
        <f t="array" aca="1" ref="B199" ca="1">XLOOKUP(A199,#REF!,#REF!)</f>
        <v>#NAME?</v>
      </c>
    </row>
    <row r="200" spans="2:2" ht="13" x14ac:dyDescent="0.15">
      <c r="B200" s="8" t="e">
        <f t="array" aca="1" ref="B200" ca="1">XLOOKUP(A200,#REF!,#REF!)</f>
        <v>#NAME?</v>
      </c>
    </row>
    <row r="201" spans="2:2" ht="13" x14ac:dyDescent="0.15">
      <c r="B201" s="8" t="e">
        <f t="array" aca="1" ref="B201" ca="1">XLOOKUP(A201,#REF!,#REF!)</f>
        <v>#NAME?</v>
      </c>
    </row>
    <row r="202" spans="2:2" ht="13" x14ac:dyDescent="0.15">
      <c r="B202" s="8" t="e">
        <f t="array" aca="1" ref="B202" ca="1">XLOOKUP(A202,#REF!,#REF!)</f>
        <v>#NAME?</v>
      </c>
    </row>
    <row r="203" spans="2:2" ht="13" x14ac:dyDescent="0.15">
      <c r="B203" s="8" t="e">
        <f t="array" aca="1" ref="B203" ca="1">XLOOKUP(A203,#REF!,#REF!)</f>
        <v>#NAME?</v>
      </c>
    </row>
    <row r="204" spans="2:2" ht="13" x14ac:dyDescent="0.15">
      <c r="B204" s="8" t="e">
        <f t="array" aca="1" ref="B204" ca="1">XLOOKUP(A204,#REF!,#REF!)</f>
        <v>#NAME?</v>
      </c>
    </row>
    <row r="205" spans="2:2" ht="13" x14ac:dyDescent="0.15">
      <c r="B205" s="8" t="e">
        <f t="array" aca="1" ref="B205" ca="1">XLOOKUP(A205,#REF!,#REF!)</f>
        <v>#NAME?</v>
      </c>
    </row>
    <row r="206" spans="2:2" ht="13" x14ac:dyDescent="0.15">
      <c r="B206" s="8" t="e">
        <f t="array" aca="1" ref="B206" ca="1">XLOOKUP(A206,#REF!,#REF!)</f>
        <v>#NAME?</v>
      </c>
    </row>
    <row r="207" spans="2:2" ht="13" x14ac:dyDescent="0.15">
      <c r="B207" s="8" t="e">
        <f t="array" aca="1" ref="B207" ca="1">XLOOKUP(A207,#REF!,#REF!)</f>
        <v>#NAME?</v>
      </c>
    </row>
    <row r="208" spans="2:2" ht="13" x14ac:dyDescent="0.15">
      <c r="B208" s="8" t="e">
        <f t="array" aca="1" ref="B208" ca="1">XLOOKUP(A208,#REF!,#REF!)</f>
        <v>#NAME?</v>
      </c>
    </row>
    <row r="209" spans="2:2" ht="13" x14ac:dyDescent="0.15">
      <c r="B209" s="8" t="e">
        <f t="array" aca="1" ref="B209" ca="1">XLOOKUP(A209,#REF!,#REF!)</f>
        <v>#NAME?</v>
      </c>
    </row>
    <row r="210" spans="2:2" ht="13" x14ac:dyDescent="0.15">
      <c r="B210" s="8" t="e">
        <f t="array" aca="1" ref="B210" ca="1">XLOOKUP(A210,#REF!,#REF!)</f>
        <v>#NAME?</v>
      </c>
    </row>
    <row r="211" spans="2:2" ht="13" x14ac:dyDescent="0.15">
      <c r="B211" s="8" t="e">
        <f t="array" aca="1" ref="B211" ca="1">XLOOKUP(A211,#REF!,#REF!)</f>
        <v>#NAME?</v>
      </c>
    </row>
    <row r="212" spans="2:2" ht="13" x14ac:dyDescent="0.15">
      <c r="B212" s="8" t="e">
        <f t="array" aca="1" ref="B212" ca="1">XLOOKUP(A212,#REF!,#REF!)</f>
        <v>#NAME?</v>
      </c>
    </row>
    <row r="213" spans="2:2" ht="13" x14ac:dyDescent="0.15">
      <c r="B213" s="8" t="e">
        <f t="array" aca="1" ref="B213" ca="1">XLOOKUP(A213,#REF!,#REF!)</f>
        <v>#NAME?</v>
      </c>
    </row>
    <row r="214" spans="2:2" ht="13" x14ac:dyDescent="0.15">
      <c r="B214" s="8" t="e">
        <f t="array" aca="1" ref="B214" ca="1">XLOOKUP(A214,#REF!,#REF!)</f>
        <v>#NAME?</v>
      </c>
    </row>
    <row r="215" spans="2:2" ht="13" x14ac:dyDescent="0.15">
      <c r="B215" s="8" t="e">
        <f t="array" aca="1" ref="B215" ca="1">XLOOKUP(A215,#REF!,#REF!)</f>
        <v>#NAME?</v>
      </c>
    </row>
    <row r="216" spans="2:2" ht="13" x14ac:dyDescent="0.15">
      <c r="B216" s="8" t="e">
        <f t="array" aca="1" ref="B216" ca="1">XLOOKUP(A216,#REF!,#REF!)</f>
        <v>#NAME?</v>
      </c>
    </row>
    <row r="217" spans="2:2" ht="13" x14ac:dyDescent="0.15">
      <c r="B217" s="8" t="e">
        <f t="array" aca="1" ref="B217" ca="1">XLOOKUP(A217,#REF!,#REF!)</f>
        <v>#NAME?</v>
      </c>
    </row>
    <row r="218" spans="2:2" ht="13" x14ac:dyDescent="0.15">
      <c r="B218" s="8" t="e">
        <f t="array" aca="1" ref="B218" ca="1">XLOOKUP(A218,#REF!,#REF!)</f>
        <v>#NAME?</v>
      </c>
    </row>
    <row r="219" spans="2:2" ht="13" x14ac:dyDescent="0.15">
      <c r="B219" s="8" t="e">
        <f t="array" aca="1" ref="B219" ca="1">XLOOKUP(A219,#REF!,#REF!)</f>
        <v>#NAME?</v>
      </c>
    </row>
    <row r="220" spans="2:2" ht="13" x14ac:dyDescent="0.15">
      <c r="B220" s="8" t="e">
        <f t="array" aca="1" ref="B220" ca="1">XLOOKUP(A220,#REF!,#REF!)</f>
        <v>#NAME?</v>
      </c>
    </row>
    <row r="221" spans="2:2" ht="13" x14ac:dyDescent="0.15">
      <c r="B221" s="8" t="e">
        <f t="array" aca="1" ref="B221" ca="1">XLOOKUP(A221,#REF!,#REF!)</f>
        <v>#NAME?</v>
      </c>
    </row>
    <row r="222" spans="2:2" ht="13" x14ac:dyDescent="0.15">
      <c r="B222" s="8" t="e">
        <f t="array" aca="1" ref="B222" ca="1">XLOOKUP(A222,#REF!,#REF!)</f>
        <v>#NAME?</v>
      </c>
    </row>
    <row r="223" spans="2:2" ht="13" x14ac:dyDescent="0.15">
      <c r="B223" s="8" t="e">
        <f t="array" aca="1" ref="B223" ca="1">XLOOKUP(A223,#REF!,#REF!)</f>
        <v>#NAME?</v>
      </c>
    </row>
    <row r="224" spans="2:2" ht="13" x14ac:dyDescent="0.15">
      <c r="B224" s="8" t="e">
        <f t="array" aca="1" ref="B224" ca="1">XLOOKUP(A224,#REF!,#REF!)</f>
        <v>#NAME?</v>
      </c>
    </row>
    <row r="225" spans="2:2" ht="13" x14ac:dyDescent="0.15">
      <c r="B225" s="8" t="e">
        <f t="array" aca="1" ref="B225" ca="1">XLOOKUP(A225,#REF!,#REF!)</f>
        <v>#NAME?</v>
      </c>
    </row>
    <row r="226" spans="2:2" ht="13" x14ac:dyDescent="0.15">
      <c r="B226" s="8" t="e">
        <f t="array" aca="1" ref="B226" ca="1">XLOOKUP(A226,#REF!,#REF!)</f>
        <v>#NAME?</v>
      </c>
    </row>
    <row r="227" spans="2:2" ht="13" x14ac:dyDescent="0.15">
      <c r="B227" s="8" t="e">
        <f t="array" aca="1" ref="B227" ca="1">XLOOKUP(A227,#REF!,#REF!)</f>
        <v>#NAME?</v>
      </c>
    </row>
    <row r="228" spans="2:2" ht="13" x14ac:dyDescent="0.15">
      <c r="B228" s="8" t="e">
        <f t="array" aca="1" ref="B228" ca="1">XLOOKUP(A228,#REF!,#REF!)</f>
        <v>#NAME?</v>
      </c>
    </row>
    <row r="229" spans="2:2" ht="13" x14ac:dyDescent="0.15">
      <c r="B229" s="8" t="e">
        <f t="array" aca="1" ref="B229" ca="1">XLOOKUP(A229,#REF!,#REF!)</f>
        <v>#NAME?</v>
      </c>
    </row>
    <row r="230" spans="2:2" ht="13" x14ac:dyDescent="0.15">
      <c r="B230" s="8" t="e">
        <f t="array" aca="1" ref="B230" ca="1">XLOOKUP(A230,#REF!,#REF!)</f>
        <v>#NAME?</v>
      </c>
    </row>
    <row r="231" spans="2:2" ht="13" x14ac:dyDescent="0.15">
      <c r="B231" s="8" t="e">
        <f t="array" aca="1" ref="B231" ca="1">XLOOKUP(A231,#REF!,#REF!)</f>
        <v>#NAME?</v>
      </c>
    </row>
    <row r="232" spans="2:2" ht="13" x14ac:dyDescent="0.15">
      <c r="B232" s="8" t="e">
        <f t="array" aca="1" ref="B232" ca="1">XLOOKUP(A232,#REF!,#REF!)</f>
        <v>#NAME?</v>
      </c>
    </row>
    <row r="233" spans="2:2" ht="13" x14ac:dyDescent="0.15">
      <c r="B233" s="8" t="e">
        <f t="array" aca="1" ref="B233" ca="1">XLOOKUP(A233,#REF!,#REF!)</f>
        <v>#NAME?</v>
      </c>
    </row>
    <row r="234" spans="2:2" ht="13" x14ac:dyDescent="0.15">
      <c r="B234" s="8" t="e">
        <f t="array" aca="1" ref="B234" ca="1">XLOOKUP(A234,#REF!,#REF!)</f>
        <v>#NAME?</v>
      </c>
    </row>
    <row r="235" spans="2:2" ht="13" x14ac:dyDescent="0.15">
      <c r="B235" s="8" t="e">
        <f t="array" aca="1" ref="B235" ca="1">XLOOKUP(A235,#REF!,#REF!)</f>
        <v>#NAME?</v>
      </c>
    </row>
    <row r="236" spans="2:2" ht="13" x14ac:dyDescent="0.15">
      <c r="B236" s="8" t="e">
        <f t="array" aca="1" ref="B236" ca="1">XLOOKUP(A236,#REF!,#REF!)</f>
        <v>#NAME?</v>
      </c>
    </row>
    <row r="237" spans="2:2" ht="13" x14ac:dyDescent="0.15">
      <c r="B237" s="8" t="e">
        <f t="array" aca="1" ref="B237" ca="1">XLOOKUP(A237,#REF!,#REF!)</f>
        <v>#NAME?</v>
      </c>
    </row>
    <row r="238" spans="2:2" ht="13" x14ac:dyDescent="0.15">
      <c r="B238" s="8" t="e">
        <f t="array" aca="1" ref="B238" ca="1">XLOOKUP(A238,#REF!,#REF!)</f>
        <v>#NAME?</v>
      </c>
    </row>
    <row r="239" spans="2:2" ht="13" x14ac:dyDescent="0.15">
      <c r="B239" s="8" t="e">
        <f t="array" aca="1" ref="B239" ca="1">XLOOKUP(A239,#REF!,#REF!)</f>
        <v>#NAME?</v>
      </c>
    </row>
    <row r="240" spans="2:2" ht="13" x14ac:dyDescent="0.15">
      <c r="B240" s="8" t="e">
        <f t="array" aca="1" ref="B240" ca="1">XLOOKUP(A240,#REF!,#REF!)</f>
        <v>#NAME?</v>
      </c>
    </row>
    <row r="241" spans="2:2" ht="13" x14ac:dyDescent="0.15">
      <c r="B241" s="8" t="e">
        <f t="array" aca="1" ref="B241" ca="1">XLOOKUP(A241,#REF!,#REF!)</f>
        <v>#NAME?</v>
      </c>
    </row>
    <row r="242" spans="2:2" ht="13" x14ac:dyDescent="0.15">
      <c r="B242" s="8" t="e">
        <f t="array" aca="1" ref="B242" ca="1">XLOOKUP(A242,#REF!,#REF!)</f>
        <v>#NAME?</v>
      </c>
    </row>
    <row r="243" spans="2:2" ht="13" x14ac:dyDescent="0.15">
      <c r="B243" s="8" t="e">
        <f t="array" aca="1" ref="B243" ca="1">XLOOKUP(A243,#REF!,#REF!)</f>
        <v>#NAME?</v>
      </c>
    </row>
    <row r="244" spans="2:2" ht="13" x14ac:dyDescent="0.15">
      <c r="B244" s="8" t="e">
        <f t="array" aca="1" ref="B244" ca="1">XLOOKUP(A244,#REF!,#REF!)</f>
        <v>#NAME?</v>
      </c>
    </row>
    <row r="245" spans="2:2" ht="13" x14ac:dyDescent="0.15">
      <c r="B245" s="8" t="e">
        <f t="array" aca="1" ref="B245" ca="1">XLOOKUP(A245,#REF!,#REF!)</f>
        <v>#NAME?</v>
      </c>
    </row>
    <row r="246" spans="2:2" ht="13" x14ac:dyDescent="0.15">
      <c r="B246" s="8" t="e">
        <f t="array" aca="1" ref="B246" ca="1">XLOOKUP(A246,#REF!,#REF!)</f>
        <v>#NAME?</v>
      </c>
    </row>
    <row r="247" spans="2:2" ht="13" x14ac:dyDescent="0.15">
      <c r="B247" s="8" t="e">
        <f t="array" aca="1" ref="B247" ca="1">XLOOKUP(A247,#REF!,#REF!)</f>
        <v>#NAME?</v>
      </c>
    </row>
    <row r="248" spans="2:2" ht="13" x14ac:dyDescent="0.15">
      <c r="B248" s="8" t="e">
        <f t="array" aca="1" ref="B248" ca="1">XLOOKUP(A248,#REF!,#REF!)</f>
        <v>#NAME?</v>
      </c>
    </row>
    <row r="249" spans="2:2" ht="13" x14ac:dyDescent="0.15">
      <c r="B249" s="8" t="e">
        <f t="array" aca="1" ref="B249" ca="1">XLOOKUP(A249,#REF!,#REF!)</f>
        <v>#NAME?</v>
      </c>
    </row>
    <row r="250" spans="2:2" ht="13" x14ac:dyDescent="0.15">
      <c r="B250" s="8" t="e">
        <f t="array" aca="1" ref="B250" ca="1">XLOOKUP(A250,#REF!,#REF!)</f>
        <v>#NAME?</v>
      </c>
    </row>
    <row r="251" spans="2:2" ht="13" x14ac:dyDescent="0.15">
      <c r="B251" s="8" t="e">
        <f t="array" aca="1" ref="B251" ca="1">XLOOKUP(A251,#REF!,#REF!)</f>
        <v>#NAME?</v>
      </c>
    </row>
    <row r="252" spans="2:2" ht="13" x14ac:dyDescent="0.15">
      <c r="B252" s="8" t="e">
        <f t="array" aca="1" ref="B252" ca="1">XLOOKUP(A252,#REF!,#REF!)</f>
        <v>#NAME?</v>
      </c>
    </row>
    <row r="253" spans="2:2" ht="13" x14ac:dyDescent="0.15">
      <c r="B253" s="8" t="e">
        <f t="array" aca="1" ref="B253" ca="1">XLOOKUP(A253,#REF!,#REF!)</f>
        <v>#NAME?</v>
      </c>
    </row>
    <row r="254" spans="2:2" ht="13" x14ac:dyDescent="0.15">
      <c r="B254" s="8" t="e">
        <f t="array" aca="1" ref="B254" ca="1">XLOOKUP(A254,#REF!,#REF!)</f>
        <v>#NAME?</v>
      </c>
    </row>
    <row r="255" spans="2:2" ht="13" x14ac:dyDescent="0.15">
      <c r="B255" s="8" t="e">
        <f t="array" aca="1" ref="B255" ca="1">XLOOKUP(A255,#REF!,#REF!)</f>
        <v>#NAME?</v>
      </c>
    </row>
    <row r="256" spans="2:2" ht="13" x14ac:dyDescent="0.15">
      <c r="B256" s="8" t="e">
        <f t="array" aca="1" ref="B256" ca="1">XLOOKUP(A256,#REF!,#REF!)</f>
        <v>#NAME?</v>
      </c>
    </row>
    <row r="257" spans="2:2" ht="13" x14ac:dyDescent="0.15">
      <c r="B257" s="8" t="e">
        <f t="array" aca="1" ref="B257" ca="1">XLOOKUP(A257,#REF!,#REF!)</f>
        <v>#NAME?</v>
      </c>
    </row>
    <row r="258" spans="2:2" ht="13" x14ac:dyDescent="0.15">
      <c r="B258" s="8" t="e">
        <f t="array" aca="1" ref="B258" ca="1">XLOOKUP(A258,#REF!,#REF!)</f>
        <v>#NAME?</v>
      </c>
    </row>
    <row r="259" spans="2:2" ht="13" x14ac:dyDescent="0.15">
      <c r="B259" s="8" t="e">
        <f t="array" aca="1" ref="B259" ca="1">XLOOKUP(A259,#REF!,#REF!)</f>
        <v>#NAME?</v>
      </c>
    </row>
    <row r="260" spans="2:2" ht="13" x14ac:dyDescent="0.15">
      <c r="B260" s="8" t="e">
        <f t="array" aca="1" ref="B260" ca="1">XLOOKUP(A260,#REF!,#REF!)</f>
        <v>#NAME?</v>
      </c>
    </row>
    <row r="261" spans="2:2" ht="13" x14ac:dyDescent="0.15">
      <c r="B261" s="8" t="e">
        <f t="array" aca="1" ref="B261" ca="1">XLOOKUP(A261,#REF!,#REF!)</f>
        <v>#NAME?</v>
      </c>
    </row>
    <row r="262" spans="2:2" ht="13" x14ac:dyDescent="0.15">
      <c r="B262" s="8" t="e">
        <f t="array" aca="1" ref="B262" ca="1">XLOOKUP(A262,#REF!,#REF!)</f>
        <v>#NAME?</v>
      </c>
    </row>
    <row r="263" spans="2:2" ht="13" x14ac:dyDescent="0.15">
      <c r="B263" s="8" t="e">
        <f t="array" aca="1" ref="B263" ca="1">XLOOKUP(A263,#REF!,#REF!)</f>
        <v>#NAME?</v>
      </c>
    </row>
    <row r="264" spans="2:2" ht="13" x14ac:dyDescent="0.15">
      <c r="B264" s="8" t="e">
        <f t="array" aca="1" ref="B264" ca="1">XLOOKUP(A264,#REF!,#REF!)</f>
        <v>#NAME?</v>
      </c>
    </row>
    <row r="265" spans="2:2" ht="13" x14ac:dyDescent="0.15">
      <c r="B265" s="8" t="e">
        <f t="array" aca="1" ref="B265" ca="1">XLOOKUP(A265,#REF!,#REF!)</f>
        <v>#NAME?</v>
      </c>
    </row>
    <row r="266" spans="2:2" ht="13" x14ac:dyDescent="0.15">
      <c r="B266" s="8" t="e">
        <f t="array" aca="1" ref="B266" ca="1">XLOOKUP(A266,#REF!,#REF!)</f>
        <v>#NAME?</v>
      </c>
    </row>
    <row r="267" spans="2:2" ht="13" x14ac:dyDescent="0.15">
      <c r="B267" s="8" t="e">
        <f t="array" aca="1" ref="B267" ca="1">XLOOKUP(A267,#REF!,#REF!)</f>
        <v>#NAME?</v>
      </c>
    </row>
    <row r="268" spans="2:2" ht="13" x14ac:dyDescent="0.15">
      <c r="B268" s="8" t="e">
        <f t="array" aca="1" ref="B268" ca="1">XLOOKUP(A268,#REF!,#REF!)</f>
        <v>#NAME?</v>
      </c>
    </row>
    <row r="269" spans="2:2" ht="13" x14ac:dyDescent="0.15">
      <c r="B269" s="8" t="e">
        <f t="array" aca="1" ref="B269" ca="1">XLOOKUP(A269,#REF!,#REF!)</f>
        <v>#NAME?</v>
      </c>
    </row>
    <row r="270" spans="2:2" ht="13" x14ac:dyDescent="0.15">
      <c r="B270" s="8" t="e">
        <f t="array" aca="1" ref="B270" ca="1">XLOOKUP(A270,#REF!,#REF!)</f>
        <v>#NAME?</v>
      </c>
    </row>
    <row r="271" spans="2:2" ht="13" x14ac:dyDescent="0.15">
      <c r="B271" s="8" t="e">
        <f t="array" aca="1" ref="B271" ca="1">XLOOKUP(A271,#REF!,#REF!)</f>
        <v>#NAME?</v>
      </c>
    </row>
    <row r="272" spans="2:2" ht="13" x14ac:dyDescent="0.15">
      <c r="B272" s="8" t="e">
        <f t="array" aca="1" ref="B272" ca="1">XLOOKUP(A272,#REF!,#REF!)</f>
        <v>#NAME?</v>
      </c>
    </row>
    <row r="273" spans="2:2" ht="13" x14ac:dyDescent="0.15">
      <c r="B273" s="8" t="e">
        <f t="array" aca="1" ref="B273" ca="1">XLOOKUP(A273,#REF!,#REF!)</f>
        <v>#NAME?</v>
      </c>
    </row>
    <row r="274" spans="2:2" ht="13" x14ac:dyDescent="0.15">
      <c r="B274" s="8" t="e">
        <f t="array" aca="1" ref="B274" ca="1">XLOOKUP(A274,#REF!,#REF!)</f>
        <v>#NAME?</v>
      </c>
    </row>
    <row r="275" spans="2:2" ht="13" x14ac:dyDescent="0.15">
      <c r="B275" s="8" t="e">
        <f t="array" aca="1" ref="B275" ca="1">XLOOKUP(A275,#REF!,#REF!)</f>
        <v>#NAME?</v>
      </c>
    </row>
    <row r="276" spans="2:2" ht="13" x14ac:dyDescent="0.15">
      <c r="B276" s="8" t="e">
        <f t="array" aca="1" ref="B276" ca="1">XLOOKUP(A276,#REF!,#REF!)</f>
        <v>#NAME?</v>
      </c>
    </row>
    <row r="277" spans="2:2" ht="13" x14ac:dyDescent="0.15">
      <c r="B277" s="8" t="e">
        <f t="array" aca="1" ref="B277" ca="1">XLOOKUP(A277,#REF!,#REF!)</f>
        <v>#NAME?</v>
      </c>
    </row>
    <row r="278" spans="2:2" ht="13" x14ac:dyDescent="0.15">
      <c r="B278" s="8" t="e">
        <f t="array" aca="1" ref="B278" ca="1">XLOOKUP(A278,#REF!,#REF!)</f>
        <v>#NAME?</v>
      </c>
    </row>
    <row r="279" spans="2:2" ht="13" x14ac:dyDescent="0.15">
      <c r="B279" s="8" t="e">
        <f t="array" aca="1" ref="B279" ca="1">XLOOKUP(A279,#REF!,#REF!)</f>
        <v>#NAME?</v>
      </c>
    </row>
    <row r="280" spans="2:2" ht="13" x14ac:dyDescent="0.15">
      <c r="B280" s="8" t="e">
        <f t="array" aca="1" ref="B280" ca="1">XLOOKUP(A280,#REF!,#REF!)</f>
        <v>#NAME?</v>
      </c>
    </row>
    <row r="281" spans="2:2" ht="13" x14ac:dyDescent="0.15">
      <c r="B281" s="8" t="e">
        <f t="array" aca="1" ref="B281" ca="1">XLOOKUP(A281,#REF!,#REF!)</f>
        <v>#NAME?</v>
      </c>
    </row>
    <row r="282" spans="2:2" ht="13" x14ac:dyDescent="0.15">
      <c r="B282" s="8" t="e">
        <f t="array" aca="1" ref="B282" ca="1">XLOOKUP(A282,#REF!,#REF!)</f>
        <v>#NAME?</v>
      </c>
    </row>
    <row r="283" spans="2:2" ht="13" x14ac:dyDescent="0.15">
      <c r="B283" s="8" t="e">
        <f t="array" aca="1" ref="B283" ca="1">XLOOKUP(A283,#REF!,#REF!)</f>
        <v>#NAME?</v>
      </c>
    </row>
    <row r="284" spans="2:2" ht="13" x14ac:dyDescent="0.15">
      <c r="B284" s="8" t="e">
        <f t="array" aca="1" ref="B284" ca="1">XLOOKUP(A284,#REF!,#REF!)</f>
        <v>#NAME?</v>
      </c>
    </row>
    <row r="285" spans="2:2" ht="13" x14ac:dyDescent="0.15">
      <c r="B285" s="8" t="e">
        <f t="array" aca="1" ref="B285" ca="1">XLOOKUP(A285,#REF!,#REF!)</f>
        <v>#NAME?</v>
      </c>
    </row>
    <row r="286" spans="2:2" ht="13" x14ac:dyDescent="0.15">
      <c r="B286" s="8" t="e">
        <f t="array" aca="1" ref="B286" ca="1">XLOOKUP(A286,#REF!,#REF!)</f>
        <v>#NAME?</v>
      </c>
    </row>
    <row r="287" spans="2:2" ht="13" x14ac:dyDescent="0.15">
      <c r="B287" s="8" t="e">
        <f t="array" aca="1" ref="B287" ca="1">XLOOKUP(A287,#REF!,#REF!)</f>
        <v>#NAME?</v>
      </c>
    </row>
    <row r="288" spans="2:2" ht="13" x14ac:dyDescent="0.15">
      <c r="B288" s="8" t="e">
        <f t="array" aca="1" ref="B288" ca="1">XLOOKUP(A288,#REF!,#REF!)</f>
        <v>#NAME?</v>
      </c>
    </row>
    <row r="289" spans="2:2" ht="13" x14ac:dyDescent="0.15">
      <c r="B289" s="8" t="e">
        <f t="array" aca="1" ref="B289" ca="1">XLOOKUP(A289,#REF!,#REF!)</f>
        <v>#NAME?</v>
      </c>
    </row>
    <row r="290" spans="2:2" ht="13" x14ac:dyDescent="0.15">
      <c r="B290" s="8" t="e">
        <f t="array" aca="1" ref="B290" ca="1">XLOOKUP(A290,#REF!,#REF!)</f>
        <v>#NAME?</v>
      </c>
    </row>
    <row r="291" spans="2:2" ht="13" x14ac:dyDescent="0.15">
      <c r="B291" s="8" t="e">
        <f t="array" aca="1" ref="B291" ca="1">XLOOKUP(A291,#REF!,#REF!)</f>
        <v>#NAME?</v>
      </c>
    </row>
    <row r="292" spans="2:2" ht="13" x14ac:dyDescent="0.15">
      <c r="B292" s="8" t="e">
        <f t="array" aca="1" ref="B292" ca="1">XLOOKUP(A292,#REF!,#REF!)</f>
        <v>#NAME?</v>
      </c>
    </row>
    <row r="293" spans="2:2" ht="13" x14ac:dyDescent="0.15">
      <c r="B293" s="8" t="e">
        <f t="array" aca="1" ref="B293" ca="1">XLOOKUP(A293,#REF!,#REF!)</f>
        <v>#NAME?</v>
      </c>
    </row>
    <row r="294" spans="2:2" ht="13" x14ac:dyDescent="0.15">
      <c r="B294" s="8" t="e">
        <f t="array" aca="1" ref="B294" ca="1">XLOOKUP(A294,#REF!,#REF!)</f>
        <v>#NAME?</v>
      </c>
    </row>
    <row r="295" spans="2:2" ht="13" x14ac:dyDescent="0.15">
      <c r="B295" s="8" t="e">
        <f t="array" aca="1" ref="B295" ca="1">XLOOKUP(A295,#REF!,#REF!)</f>
        <v>#NAME?</v>
      </c>
    </row>
    <row r="296" spans="2:2" ht="13" x14ac:dyDescent="0.15">
      <c r="B296" s="8" t="e">
        <f t="array" aca="1" ref="B296" ca="1">XLOOKUP(A296,#REF!,#REF!)</f>
        <v>#NAME?</v>
      </c>
    </row>
    <row r="297" spans="2:2" ht="13" x14ac:dyDescent="0.15">
      <c r="B297" s="8" t="e">
        <f t="array" aca="1" ref="B297" ca="1">XLOOKUP(A297,#REF!,#REF!)</f>
        <v>#NAME?</v>
      </c>
    </row>
    <row r="298" spans="2:2" ht="13" x14ac:dyDescent="0.15">
      <c r="B298" s="8" t="e">
        <f t="array" aca="1" ref="B298" ca="1">XLOOKUP(A298,#REF!,#REF!)</f>
        <v>#NAME?</v>
      </c>
    </row>
    <row r="299" spans="2:2" ht="13" x14ac:dyDescent="0.15">
      <c r="B299" s="8" t="e">
        <f t="array" aca="1" ref="B299" ca="1">XLOOKUP(A299,#REF!,#REF!)</f>
        <v>#NAME?</v>
      </c>
    </row>
    <row r="300" spans="2:2" ht="13" x14ac:dyDescent="0.15">
      <c r="B300" s="8" t="e">
        <f t="array" aca="1" ref="B300" ca="1">XLOOKUP(A300,#REF!,#REF!)</f>
        <v>#NAME?</v>
      </c>
    </row>
    <row r="301" spans="2:2" ht="13" x14ac:dyDescent="0.15">
      <c r="B301" s="8" t="e">
        <f t="array" aca="1" ref="B301" ca="1">XLOOKUP(A301,#REF!,#REF!)</f>
        <v>#NAME?</v>
      </c>
    </row>
    <row r="302" spans="2:2" ht="13" x14ac:dyDescent="0.15">
      <c r="B302" s="8" t="e">
        <f t="array" aca="1" ref="B302" ca="1">XLOOKUP(A302,#REF!,#REF!)</f>
        <v>#NAME?</v>
      </c>
    </row>
    <row r="303" spans="2:2" ht="13" x14ac:dyDescent="0.15">
      <c r="B303" s="8" t="e">
        <f t="array" aca="1" ref="B303" ca="1">XLOOKUP(A303,#REF!,#REF!)</f>
        <v>#NAME?</v>
      </c>
    </row>
    <row r="304" spans="2:2" ht="13" x14ac:dyDescent="0.15">
      <c r="B304" s="8" t="e">
        <f t="array" aca="1" ref="B304" ca="1">XLOOKUP(A304,#REF!,#REF!)</f>
        <v>#NAME?</v>
      </c>
    </row>
    <row r="305" spans="2:2" ht="13" x14ac:dyDescent="0.15">
      <c r="B305" s="8" t="e">
        <f t="array" aca="1" ref="B305" ca="1">XLOOKUP(A305,#REF!,#REF!)</f>
        <v>#NAME?</v>
      </c>
    </row>
    <row r="306" spans="2:2" ht="13" x14ac:dyDescent="0.15">
      <c r="B306" s="8" t="e">
        <f t="array" aca="1" ref="B306" ca="1">XLOOKUP(A306,#REF!,#REF!)</f>
        <v>#NAME?</v>
      </c>
    </row>
    <row r="307" spans="2:2" ht="13" x14ac:dyDescent="0.15">
      <c r="B307" s="8" t="e">
        <f t="array" aca="1" ref="B307" ca="1">XLOOKUP(A307,#REF!,#REF!)</f>
        <v>#NAME?</v>
      </c>
    </row>
    <row r="308" spans="2:2" ht="13" x14ac:dyDescent="0.15">
      <c r="B308" s="8" t="e">
        <f t="array" aca="1" ref="B308" ca="1">XLOOKUP(A308,#REF!,#REF!)</f>
        <v>#NAME?</v>
      </c>
    </row>
    <row r="309" spans="2:2" ht="13" x14ac:dyDescent="0.15">
      <c r="B309" s="8" t="e">
        <f t="array" aca="1" ref="B309" ca="1">XLOOKUP(A309,#REF!,#REF!)</f>
        <v>#NAME?</v>
      </c>
    </row>
    <row r="310" spans="2:2" ht="13" x14ac:dyDescent="0.15">
      <c r="B310" s="8" t="e">
        <f t="array" aca="1" ref="B310" ca="1">XLOOKUP(A310,#REF!,#REF!)</f>
        <v>#NAME?</v>
      </c>
    </row>
    <row r="311" spans="2:2" ht="13" x14ac:dyDescent="0.15">
      <c r="B311" s="8" t="e">
        <f t="array" aca="1" ref="B311" ca="1">XLOOKUP(A311,#REF!,#REF!)</f>
        <v>#NAME?</v>
      </c>
    </row>
    <row r="312" spans="2:2" ht="13" x14ac:dyDescent="0.15">
      <c r="B312" s="8" t="e">
        <f t="array" aca="1" ref="B312" ca="1">XLOOKUP(A312,#REF!,#REF!)</f>
        <v>#NAME?</v>
      </c>
    </row>
    <row r="313" spans="2:2" ht="13" x14ac:dyDescent="0.15">
      <c r="B313" s="8" t="e">
        <f t="array" aca="1" ref="B313" ca="1">XLOOKUP(A313,#REF!,#REF!)</f>
        <v>#NAME?</v>
      </c>
    </row>
    <row r="314" spans="2:2" ht="13" x14ac:dyDescent="0.15">
      <c r="B314" s="8" t="e">
        <f t="array" aca="1" ref="B314" ca="1">XLOOKUP(A314,#REF!,#REF!)</f>
        <v>#NAME?</v>
      </c>
    </row>
    <row r="315" spans="2:2" ht="13" x14ac:dyDescent="0.15">
      <c r="B315" s="8" t="e">
        <f t="array" aca="1" ref="B315" ca="1">XLOOKUP(A315,#REF!,#REF!)</f>
        <v>#NAME?</v>
      </c>
    </row>
    <row r="316" spans="2:2" ht="13" x14ac:dyDescent="0.15">
      <c r="B316" s="8" t="e">
        <f t="array" aca="1" ref="B316" ca="1">XLOOKUP(A316,#REF!,#REF!)</f>
        <v>#NAME?</v>
      </c>
    </row>
    <row r="317" spans="2:2" ht="13" x14ac:dyDescent="0.15">
      <c r="B317" s="8" t="e">
        <f t="array" aca="1" ref="B317" ca="1">XLOOKUP(A317,#REF!,#REF!)</f>
        <v>#NAME?</v>
      </c>
    </row>
    <row r="318" spans="2:2" ht="13" x14ac:dyDescent="0.15">
      <c r="B318" s="8" t="e">
        <f t="array" aca="1" ref="B318" ca="1">XLOOKUP(A318,#REF!,#REF!)</f>
        <v>#NAME?</v>
      </c>
    </row>
    <row r="319" spans="2:2" ht="13" x14ac:dyDescent="0.15">
      <c r="B319" s="8" t="e">
        <f t="array" aca="1" ref="B319" ca="1">XLOOKUP(A319,#REF!,#REF!)</f>
        <v>#NAME?</v>
      </c>
    </row>
    <row r="320" spans="2:2" ht="13" x14ac:dyDescent="0.15">
      <c r="B320" s="8" t="e">
        <f t="array" aca="1" ref="B320" ca="1">XLOOKUP(A320,#REF!,#REF!)</f>
        <v>#NAME?</v>
      </c>
    </row>
    <row r="321" spans="2:2" ht="13" x14ac:dyDescent="0.15">
      <c r="B321" s="8" t="e">
        <f t="array" aca="1" ref="B321" ca="1">XLOOKUP(A321,#REF!,#REF!)</f>
        <v>#NAME?</v>
      </c>
    </row>
    <row r="322" spans="2:2" ht="13" x14ac:dyDescent="0.15">
      <c r="B322" s="8" t="e">
        <f t="array" aca="1" ref="B322" ca="1">XLOOKUP(A322,#REF!,#REF!)</f>
        <v>#NAME?</v>
      </c>
    </row>
    <row r="323" spans="2:2" ht="13" x14ac:dyDescent="0.15">
      <c r="B323" s="8" t="e">
        <f t="array" aca="1" ref="B323" ca="1">XLOOKUP(A323,#REF!,#REF!)</f>
        <v>#NAME?</v>
      </c>
    </row>
    <row r="324" spans="2:2" ht="13" x14ac:dyDescent="0.15">
      <c r="B324" s="8" t="e">
        <f t="array" aca="1" ref="B324" ca="1">XLOOKUP(A324,#REF!,#REF!)</f>
        <v>#NAME?</v>
      </c>
    </row>
    <row r="325" spans="2:2" ht="13" x14ac:dyDescent="0.15">
      <c r="B325" s="8" t="e">
        <f t="array" aca="1" ref="B325" ca="1">XLOOKUP(A325,#REF!,#REF!)</f>
        <v>#NAME?</v>
      </c>
    </row>
    <row r="326" spans="2:2" ht="13" x14ac:dyDescent="0.15">
      <c r="B326" s="8" t="e">
        <f t="array" aca="1" ref="B326" ca="1">XLOOKUP(A326,#REF!,#REF!)</f>
        <v>#NAME?</v>
      </c>
    </row>
    <row r="327" spans="2:2" ht="13" x14ac:dyDescent="0.15">
      <c r="B327" s="8" t="e">
        <f t="array" aca="1" ref="B327" ca="1">XLOOKUP(A327,#REF!,#REF!)</f>
        <v>#NAME?</v>
      </c>
    </row>
    <row r="328" spans="2:2" ht="13" x14ac:dyDescent="0.15">
      <c r="B328" s="8" t="e">
        <f t="array" aca="1" ref="B328" ca="1">XLOOKUP(A328,#REF!,#REF!)</f>
        <v>#NAME?</v>
      </c>
    </row>
    <row r="329" spans="2:2" ht="13" x14ac:dyDescent="0.15">
      <c r="B329" s="8" t="e">
        <f t="array" aca="1" ref="B329" ca="1">XLOOKUP(A329,#REF!,#REF!)</f>
        <v>#NAME?</v>
      </c>
    </row>
    <row r="330" spans="2:2" ht="13" x14ac:dyDescent="0.15">
      <c r="B330" s="8" t="e">
        <f t="array" aca="1" ref="B330" ca="1">XLOOKUP(A330,#REF!,#REF!)</f>
        <v>#NAME?</v>
      </c>
    </row>
    <row r="331" spans="2:2" ht="13" x14ac:dyDescent="0.15">
      <c r="B331" s="8" t="e">
        <f t="array" aca="1" ref="B331" ca="1">XLOOKUP(A331,#REF!,#REF!)</f>
        <v>#NAME?</v>
      </c>
    </row>
    <row r="332" spans="2:2" ht="13" x14ac:dyDescent="0.15">
      <c r="B332" s="8" t="e">
        <f t="array" aca="1" ref="B332" ca="1">XLOOKUP(A332,#REF!,#REF!)</f>
        <v>#NAME?</v>
      </c>
    </row>
    <row r="333" spans="2:2" ht="13" x14ac:dyDescent="0.15">
      <c r="B333" s="8" t="e">
        <f t="array" aca="1" ref="B333" ca="1">XLOOKUP(A333,#REF!,#REF!)</f>
        <v>#NAME?</v>
      </c>
    </row>
    <row r="334" spans="2:2" ht="13" x14ac:dyDescent="0.15">
      <c r="B334" s="8" t="e">
        <f t="array" aca="1" ref="B334" ca="1">XLOOKUP(A334,#REF!,#REF!)</f>
        <v>#NAME?</v>
      </c>
    </row>
    <row r="335" spans="2:2" ht="13" x14ac:dyDescent="0.15">
      <c r="B335" s="8" t="e">
        <f t="array" aca="1" ref="B335" ca="1">XLOOKUP(A335,#REF!,#REF!)</f>
        <v>#NAME?</v>
      </c>
    </row>
    <row r="336" spans="2:2" ht="13" x14ac:dyDescent="0.15">
      <c r="B336" s="8" t="e">
        <f t="array" aca="1" ref="B336" ca="1">XLOOKUP(A336,#REF!,#REF!)</f>
        <v>#NAME?</v>
      </c>
    </row>
    <row r="337" spans="2:2" ht="13" x14ac:dyDescent="0.15">
      <c r="B337" s="8" t="e">
        <f t="array" aca="1" ref="B337" ca="1">XLOOKUP(A337,#REF!,#REF!)</f>
        <v>#NAME?</v>
      </c>
    </row>
    <row r="338" spans="2:2" ht="13" x14ac:dyDescent="0.15">
      <c r="B338" s="8" t="e">
        <f t="array" aca="1" ref="B338" ca="1">XLOOKUP(A338,#REF!,#REF!)</f>
        <v>#NAME?</v>
      </c>
    </row>
    <row r="339" spans="2:2" ht="13" x14ac:dyDescent="0.15">
      <c r="B339" s="8" t="e">
        <f t="array" aca="1" ref="B339" ca="1">XLOOKUP(A339,#REF!,#REF!)</f>
        <v>#NAME?</v>
      </c>
    </row>
    <row r="340" spans="2:2" ht="13" x14ac:dyDescent="0.15">
      <c r="B340" s="8" t="e">
        <f t="array" aca="1" ref="B340" ca="1">XLOOKUP(A340,#REF!,#REF!)</f>
        <v>#NAME?</v>
      </c>
    </row>
    <row r="341" spans="2:2" ht="13" x14ac:dyDescent="0.15">
      <c r="B341" s="8" t="e">
        <f t="array" aca="1" ref="B341" ca="1">XLOOKUP(A341,#REF!,#REF!)</f>
        <v>#NAME?</v>
      </c>
    </row>
    <row r="342" spans="2:2" ht="13" x14ac:dyDescent="0.15">
      <c r="B342" s="8" t="e">
        <f t="array" aca="1" ref="B342" ca="1">XLOOKUP(A342,#REF!,#REF!)</f>
        <v>#NAME?</v>
      </c>
    </row>
    <row r="343" spans="2:2" ht="13" x14ac:dyDescent="0.15">
      <c r="B343" s="8" t="e">
        <f t="array" aca="1" ref="B343" ca="1">XLOOKUP(A343,#REF!,#REF!)</f>
        <v>#NAME?</v>
      </c>
    </row>
    <row r="344" spans="2:2" ht="13" x14ac:dyDescent="0.15">
      <c r="B344" s="8" t="e">
        <f t="array" aca="1" ref="B344" ca="1">XLOOKUP(A344,#REF!,#REF!)</f>
        <v>#NAME?</v>
      </c>
    </row>
    <row r="345" spans="2:2" ht="13" x14ac:dyDescent="0.15">
      <c r="B345" s="8" t="e">
        <f t="array" aca="1" ref="B345" ca="1">XLOOKUP(A345,#REF!,#REF!)</f>
        <v>#NAME?</v>
      </c>
    </row>
    <row r="346" spans="2:2" ht="13" x14ac:dyDescent="0.15">
      <c r="B346" s="8" t="e">
        <f t="array" aca="1" ref="B346" ca="1">XLOOKUP(A346,#REF!,#REF!)</f>
        <v>#NAME?</v>
      </c>
    </row>
    <row r="347" spans="2:2" ht="13" x14ac:dyDescent="0.15">
      <c r="B347" s="8" t="e">
        <f t="array" aca="1" ref="B347" ca="1">XLOOKUP(A347,#REF!,#REF!)</f>
        <v>#NAME?</v>
      </c>
    </row>
    <row r="348" spans="2:2" ht="13" x14ac:dyDescent="0.15">
      <c r="B348" s="8" t="e">
        <f t="array" aca="1" ref="B348" ca="1">XLOOKUP(A348,#REF!,#REF!)</f>
        <v>#NAME?</v>
      </c>
    </row>
    <row r="349" spans="2:2" ht="13" x14ac:dyDescent="0.15">
      <c r="B349" s="8" t="e">
        <f t="array" aca="1" ref="B349" ca="1">XLOOKUP(A349,#REF!,#REF!)</f>
        <v>#NAME?</v>
      </c>
    </row>
    <row r="350" spans="2:2" ht="13" x14ac:dyDescent="0.15">
      <c r="B350" s="8" t="e">
        <f t="array" aca="1" ref="B350" ca="1">XLOOKUP(A350,#REF!,#REF!)</f>
        <v>#NAME?</v>
      </c>
    </row>
    <row r="351" spans="2:2" ht="13" x14ac:dyDescent="0.15">
      <c r="B351" s="8" t="e">
        <f t="array" aca="1" ref="B351" ca="1">XLOOKUP(A351,#REF!,#REF!)</f>
        <v>#NAME?</v>
      </c>
    </row>
    <row r="352" spans="2:2" ht="13" x14ac:dyDescent="0.15">
      <c r="B352" s="8" t="e">
        <f t="array" aca="1" ref="B352" ca="1">XLOOKUP(A352,#REF!,#REF!)</f>
        <v>#NAME?</v>
      </c>
    </row>
    <row r="353" spans="2:2" ht="13" x14ac:dyDescent="0.15">
      <c r="B353" s="8" t="e">
        <f t="array" aca="1" ref="B353" ca="1">XLOOKUP(A353,#REF!,#REF!)</f>
        <v>#NAME?</v>
      </c>
    </row>
    <row r="354" spans="2:2" ht="13" x14ac:dyDescent="0.15">
      <c r="B354" s="8" t="e">
        <f t="array" aca="1" ref="B354" ca="1">XLOOKUP(A354,#REF!,#REF!)</f>
        <v>#NAME?</v>
      </c>
    </row>
    <row r="355" spans="2:2" ht="13" x14ac:dyDescent="0.15">
      <c r="B355" s="8" t="e">
        <f t="array" aca="1" ref="B355" ca="1">XLOOKUP(A355,#REF!,#REF!)</f>
        <v>#NAME?</v>
      </c>
    </row>
    <row r="356" spans="2:2" ht="13" x14ac:dyDescent="0.15">
      <c r="B356" s="8" t="e">
        <f t="array" aca="1" ref="B356" ca="1">XLOOKUP(A356,#REF!,#REF!)</f>
        <v>#NAME?</v>
      </c>
    </row>
    <row r="357" spans="2:2" ht="13" x14ac:dyDescent="0.15">
      <c r="B357" s="8" t="e">
        <f t="array" aca="1" ref="B357" ca="1">XLOOKUP(A357,#REF!,#REF!)</f>
        <v>#NAME?</v>
      </c>
    </row>
    <row r="358" spans="2:2" ht="13" x14ac:dyDescent="0.15">
      <c r="B358" s="8" t="e">
        <f t="array" aca="1" ref="B358" ca="1">XLOOKUP(A358,#REF!,#REF!)</f>
        <v>#NAME?</v>
      </c>
    </row>
    <row r="359" spans="2:2" ht="13" x14ac:dyDescent="0.15">
      <c r="B359" s="8" t="e">
        <f t="array" aca="1" ref="B359" ca="1">XLOOKUP(A359,#REF!,#REF!)</f>
        <v>#NAME?</v>
      </c>
    </row>
    <row r="360" spans="2:2" ht="13" x14ac:dyDescent="0.15">
      <c r="B360" s="8" t="e">
        <f t="array" aca="1" ref="B360" ca="1">XLOOKUP(A360,#REF!,#REF!)</f>
        <v>#NAME?</v>
      </c>
    </row>
    <row r="361" spans="2:2" ht="13" x14ac:dyDescent="0.15">
      <c r="B361" s="8" t="e">
        <f t="array" aca="1" ref="B361" ca="1">XLOOKUP(A361,#REF!,#REF!)</f>
        <v>#NAME?</v>
      </c>
    </row>
    <row r="362" spans="2:2" ht="13" x14ac:dyDescent="0.15">
      <c r="B362" s="8" t="e">
        <f t="array" aca="1" ref="B362" ca="1">XLOOKUP(A362,#REF!,#REF!)</f>
        <v>#NAME?</v>
      </c>
    </row>
    <row r="363" spans="2:2" ht="13" x14ac:dyDescent="0.15">
      <c r="B363" s="8" t="e">
        <f t="array" aca="1" ref="B363" ca="1">XLOOKUP(A363,#REF!,#REF!)</f>
        <v>#NAME?</v>
      </c>
    </row>
    <row r="364" spans="2:2" ht="13" x14ac:dyDescent="0.15">
      <c r="B364" s="8" t="e">
        <f t="array" aca="1" ref="B364" ca="1">XLOOKUP(A364,#REF!,#REF!)</f>
        <v>#NAME?</v>
      </c>
    </row>
    <row r="365" spans="2:2" ht="13" x14ac:dyDescent="0.15">
      <c r="B365" s="8" t="e">
        <f t="array" aca="1" ref="B365" ca="1">XLOOKUP(A365,#REF!,#REF!)</f>
        <v>#NAME?</v>
      </c>
    </row>
    <row r="366" spans="2:2" ht="13" x14ac:dyDescent="0.15">
      <c r="B366" s="8" t="e">
        <f t="array" aca="1" ref="B366" ca="1">XLOOKUP(A366,#REF!,#REF!)</f>
        <v>#NAME?</v>
      </c>
    </row>
    <row r="367" spans="2:2" ht="13" x14ac:dyDescent="0.15">
      <c r="B367" s="8" t="e">
        <f t="array" aca="1" ref="B367" ca="1">XLOOKUP(A367,#REF!,#REF!)</f>
        <v>#NAME?</v>
      </c>
    </row>
    <row r="368" spans="2:2" ht="13" x14ac:dyDescent="0.15">
      <c r="B368" s="8" t="e">
        <f t="array" aca="1" ref="B368" ca="1">XLOOKUP(A368,#REF!,#REF!)</f>
        <v>#NAME?</v>
      </c>
    </row>
    <row r="369" spans="2:2" ht="13" x14ac:dyDescent="0.15">
      <c r="B369" s="8" t="e">
        <f t="array" aca="1" ref="B369" ca="1">XLOOKUP(A369,#REF!,#REF!)</f>
        <v>#NAME?</v>
      </c>
    </row>
    <row r="370" spans="2:2" ht="13" x14ac:dyDescent="0.15">
      <c r="B370" s="8" t="e">
        <f t="array" aca="1" ref="B370" ca="1">XLOOKUP(A370,#REF!,#REF!)</f>
        <v>#NAME?</v>
      </c>
    </row>
    <row r="371" spans="2:2" ht="13" x14ac:dyDescent="0.15">
      <c r="B371" s="8" t="e">
        <f t="array" aca="1" ref="B371" ca="1">XLOOKUP(A371,#REF!,#REF!)</f>
        <v>#NAME?</v>
      </c>
    </row>
    <row r="372" spans="2:2" ht="13" x14ac:dyDescent="0.15">
      <c r="B372" s="8" t="e">
        <f t="array" aca="1" ref="B372" ca="1">XLOOKUP(A372,#REF!,#REF!)</f>
        <v>#NAME?</v>
      </c>
    </row>
    <row r="373" spans="2:2" ht="13" x14ac:dyDescent="0.15">
      <c r="B373" s="8" t="e">
        <f t="array" aca="1" ref="B373" ca="1">XLOOKUP(A373,#REF!,#REF!)</f>
        <v>#NAME?</v>
      </c>
    </row>
    <row r="374" spans="2:2" ht="13" x14ac:dyDescent="0.15">
      <c r="B374" s="8" t="e">
        <f t="array" aca="1" ref="B374" ca="1">XLOOKUP(A374,#REF!,#REF!)</f>
        <v>#NAME?</v>
      </c>
    </row>
    <row r="375" spans="2:2" ht="13" x14ac:dyDescent="0.15">
      <c r="B375" s="8" t="e">
        <f t="array" aca="1" ref="B375" ca="1">XLOOKUP(A375,#REF!,#REF!)</f>
        <v>#NAME?</v>
      </c>
    </row>
    <row r="376" spans="2:2" ht="13" x14ac:dyDescent="0.15">
      <c r="B376" s="8" t="e">
        <f t="array" aca="1" ref="B376" ca="1">XLOOKUP(A376,#REF!,#REF!)</f>
        <v>#NAME?</v>
      </c>
    </row>
    <row r="377" spans="2:2" ht="13" x14ac:dyDescent="0.15">
      <c r="B377" s="8" t="e">
        <f t="array" aca="1" ref="B377" ca="1">XLOOKUP(A377,#REF!,#REF!)</f>
        <v>#NAME?</v>
      </c>
    </row>
    <row r="378" spans="2:2" ht="13" x14ac:dyDescent="0.15">
      <c r="B378" s="8" t="e">
        <f t="array" aca="1" ref="B378" ca="1">XLOOKUP(A378,#REF!,#REF!)</f>
        <v>#NAME?</v>
      </c>
    </row>
    <row r="379" spans="2:2" ht="13" x14ac:dyDescent="0.15">
      <c r="B379" s="8" t="e">
        <f t="array" aca="1" ref="B379" ca="1">XLOOKUP(A379,#REF!,#REF!)</f>
        <v>#NAME?</v>
      </c>
    </row>
    <row r="380" spans="2:2" ht="13" x14ac:dyDescent="0.15">
      <c r="B380" s="8" t="e">
        <f t="array" aca="1" ref="B380" ca="1">XLOOKUP(A380,#REF!,#REF!)</f>
        <v>#NAME?</v>
      </c>
    </row>
    <row r="381" spans="2:2" ht="13" x14ac:dyDescent="0.15">
      <c r="B381" s="8" t="e">
        <f t="array" aca="1" ref="B381" ca="1">XLOOKUP(A381,#REF!,#REF!)</f>
        <v>#NAME?</v>
      </c>
    </row>
    <row r="382" spans="2:2" ht="13" x14ac:dyDescent="0.15">
      <c r="B382" s="8" t="e">
        <f t="array" aca="1" ref="B382" ca="1">XLOOKUP(A382,#REF!,#REF!)</f>
        <v>#NAME?</v>
      </c>
    </row>
    <row r="383" spans="2:2" ht="13" x14ac:dyDescent="0.15">
      <c r="B383" s="8" t="e">
        <f t="array" aca="1" ref="B383" ca="1">XLOOKUP(A383,#REF!,#REF!)</f>
        <v>#NAME?</v>
      </c>
    </row>
    <row r="384" spans="2:2" ht="13" x14ac:dyDescent="0.15">
      <c r="B384" s="8" t="e">
        <f t="array" aca="1" ref="B384" ca="1">XLOOKUP(A384,#REF!,#REF!)</f>
        <v>#NAME?</v>
      </c>
    </row>
    <row r="385" spans="2:2" ht="13" x14ac:dyDescent="0.15">
      <c r="B385" s="8" t="e">
        <f t="array" aca="1" ref="B385" ca="1">XLOOKUP(A385,#REF!,#REF!)</f>
        <v>#NAME?</v>
      </c>
    </row>
    <row r="386" spans="2:2" ht="13" x14ac:dyDescent="0.15">
      <c r="B386" s="8" t="e">
        <f t="array" aca="1" ref="B386" ca="1">XLOOKUP(A386,#REF!,#REF!)</f>
        <v>#NAME?</v>
      </c>
    </row>
    <row r="387" spans="2:2" ht="13" x14ac:dyDescent="0.15">
      <c r="B387" s="8" t="e">
        <f t="array" aca="1" ref="B387" ca="1">XLOOKUP(A387,#REF!,#REF!)</f>
        <v>#NAME?</v>
      </c>
    </row>
    <row r="388" spans="2:2" ht="13" x14ac:dyDescent="0.15">
      <c r="B388" s="8" t="e">
        <f t="array" aca="1" ref="B388" ca="1">XLOOKUP(A388,#REF!,#REF!)</f>
        <v>#NAME?</v>
      </c>
    </row>
    <row r="389" spans="2:2" ht="13" x14ac:dyDescent="0.15">
      <c r="B389" s="8" t="e">
        <f t="array" aca="1" ref="B389" ca="1">XLOOKUP(A389,#REF!,#REF!)</f>
        <v>#NAME?</v>
      </c>
    </row>
    <row r="390" spans="2:2" ht="13" x14ac:dyDescent="0.15">
      <c r="B390" s="8" t="e">
        <f t="array" aca="1" ref="B390" ca="1">XLOOKUP(A390,#REF!,#REF!)</f>
        <v>#NAME?</v>
      </c>
    </row>
    <row r="391" spans="2:2" ht="13" x14ac:dyDescent="0.15">
      <c r="B391" s="8" t="e">
        <f t="array" aca="1" ref="B391" ca="1">XLOOKUP(A391,#REF!,#REF!)</f>
        <v>#NAME?</v>
      </c>
    </row>
    <row r="392" spans="2:2" ht="13" x14ac:dyDescent="0.15">
      <c r="B392" s="8" t="e">
        <f t="array" aca="1" ref="B392" ca="1">XLOOKUP(A392,#REF!,#REF!)</f>
        <v>#NAME?</v>
      </c>
    </row>
    <row r="393" spans="2:2" ht="13" x14ac:dyDescent="0.15">
      <c r="B393" s="8" t="e">
        <f t="array" aca="1" ref="B393" ca="1">XLOOKUP(A393,#REF!,#REF!)</f>
        <v>#NAME?</v>
      </c>
    </row>
    <row r="394" spans="2:2" ht="13" x14ac:dyDescent="0.15">
      <c r="B394" s="8" t="e">
        <f t="array" aca="1" ref="B394" ca="1">XLOOKUP(A394,#REF!,#REF!)</f>
        <v>#NAME?</v>
      </c>
    </row>
    <row r="395" spans="2:2" ht="13" x14ac:dyDescent="0.15">
      <c r="B395" s="8" t="e">
        <f t="array" aca="1" ref="B395" ca="1">XLOOKUP(A395,#REF!,#REF!)</f>
        <v>#NAME?</v>
      </c>
    </row>
    <row r="396" spans="2:2" ht="13" x14ac:dyDescent="0.15">
      <c r="B396" s="8" t="e">
        <f t="array" aca="1" ref="B396" ca="1">XLOOKUP(A396,#REF!,#REF!)</f>
        <v>#NAME?</v>
      </c>
    </row>
    <row r="397" spans="2:2" ht="13" x14ac:dyDescent="0.15">
      <c r="B397" s="8" t="e">
        <f t="array" aca="1" ref="B397" ca="1">XLOOKUP(A397,#REF!,#REF!)</f>
        <v>#NAME?</v>
      </c>
    </row>
    <row r="398" spans="2:2" ht="13" x14ac:dyDescent="0.15">
      <c r="B398" s="8" t="e">
        <f t="array" aca="1" ref="B398" ca="1">XLOOKUP(A398,#REF!,#REF!)</f>
        <v>#NAME?</v>
      </c>
    </row>
    <row r="399" spans="2:2" ht="13" x14ac:dyDescent="0.15">
      <c r="B399" s="8" t="e">
        <f t="array" aca="1" ref="B399" ca="1">XLOOKUP(A399,#REF!,#REF!)</f>
        <v>#NAME?</v>
      </c>
    </row>
    <row r="400" spans="2:2" ht="13" x14ac:dyDescent="0.15">
      <c r="B400" s="8" t="e">
        <f t="array" aca="1" ref="B400" ca="1">XLOOKUP(A400,#REF!,#REF!)</f>
        <v>#NAME?</v>
      </c>
    </row>
    <row r="401" spans="2:2" ht="13" x14ac:dyDescent="0.15">
      <c r="B401" s="8" t="e">
        <f t="array" aca="1" ref="B401" ca="1">XLOOKUP(A401,#REF!,#REF!)</f>
        <v>#NAME?</v>
      </c>
    </row>
    <row r="402" spans="2:2" ht="13" x14ac:dyDescent="0.15">
      <c r="B402" s="8" t="e">
        <f t="array" aca="1" ref="B402" ca="1">XLOOKUP(A402,#REF!,#REF!)</f>
        <v>#NAME?</v>
      </c>
    </row>
    <row r="403" spans="2:2" ht="13" x14ac:dyDescent="0.15">
      <c r="B403" s="8" t="e">
        <f t="array" aca="1" ref="B403" ca="1">XLOOKUP(A403,#REF!,#REF!)</f>
        <v>#NAME?</v>
      </c>
    </row>
    <row r="404" spans="2:2" ht="13" x14ac:dyDescent="0.15">
      <c r="B404" s="8" t="e">
        <f t="array" aca="1" ref="B404" ca="1">XLOOKUP(A404,#REF!,#REF!)</f>
        <v>#NAME?</v>
      </c>
    </row>
    <row r="405" spans="2:2" ht="13" x14ac:dyDescent="0.15">
      <c r="B405" s="8" t="e">
        <f t="array" aca="1" ref="B405" ca="1">XLOOKUP(A405,#REF!,#REF!)</f>
        <v>#NAME?</v>
      </c>
    </row>
    <row r="406" spans="2:2" ht="13" x14ac:dyDescent="0.15">
      <c r="B406" s="8" t="e">
        <f t="array" aca="1" ref="B406" ca="1">XLOOKUP(A406,#REF!,#REF!)</f>
        <v>#NAME?</v>
      </c>
    </row>
    <row r="407" spans="2:2" ht="13" x14ac:dyDescent="0.15">
      <c r="B407" s="8" t="e">
        <f t="array" aca="1" ref="B407" ca="1">XLOOKUP(A407,#REF!,#REF!)</f>
        <v>#NAME?</v>
      </c>
    </row>
    <row r="408" spans="2:2" ht="13" x14ac:dyDescent="0.15">
      <c r="B408" s="8" t="e">
        <f t="array" aca="1" ref="B408" ca="1">XLOOKUP(A408,#REF!,#REF!)</f>
        <v>#NAME?</v>
      </c>
    </row>
    <row r="409" spans="2:2" ht="13" x14ac:dyDescent="0.15">
      <c r="B409" s="8" t="e">
        <f t="array" aca="1" ref="B409" ca="1">XLOOKUP(A409,#REF!,#REF!)</f>
        <v>#NAME?</v>
      </c>
    </row>
    <row r="410" spans="2:2" ht="13" x14ac:dyDescent="0.15">
      <c r="B410" s="8" t="e">
        <f t="array" aca="1" ref="B410" ca="1">XLOOKUP(A410,#REF!,#REF!)</f>
        <v>#NAME?</v>
      </c>
    </row>
    <row r="411" spans="2:2" ht="13" x14ac:dyDescent="0.15">
      <c r="B411" s="8" t="e">
        <f t="array" aca="1" ref="B411" ca="1">XLOOKUP(A411,#REF!,#REF!)</f>
        <v>#NAME?</v>
      </c>
    </row>
    <row r="412" spans="2:2" ht="13" x14ac:dyDescent="0.15">
      <c r="B412" s="8" t="e">
        <f t="array" aca="1" ref="B412" ca="1">XLOOKUP(A412,#REF!,#REF!)</f>
        <v>#NAME?</v>
      </c>
    </row>
    <row r="413" spans="2:2" ht="13" x14ac:dyDescent="0.15">
      <c r="B413" s="8" t="e">
        <f t="array" aca="1" ref="B413" ca="1">XLOOKUP(A413,#REF!,#REF!)</f>
        <v>#NAME?</v>
      </c>
    </row>
    <row r="414" spans="2:2" ht="13" x14ac:dyDescent="0.15">
      <c r="B414" s="8" t="e">
        <f t="array" aca="1" ref="B414" ca="1">XLOOKUP(A414,#REF!,#REF!)</f>
        <v>#NAME?</v>
      </c>
    </row>
    <row r="415" spans="2:2" ht="13" x14ac:dyDescent="0.15">
      <c r="B415" s="8" t="e">
        <f t="array" aca="1" ref="B415" ca="1">XLOOKUP(A415,#REF!,#REF!)</f>
        <v>#NAME?</v>
      </c>
    </row>
    <row r="416" spans="2:2" ht="13" x14ac:dyDescent="0.15">
      <c r="B416" s="8" t="e">
        <f t="array" aca="1" ref="B416" ca="1">XLOOKUP(A416,#REF!,#REF!)</f>
        <v>#NAME?</v>
      </c>
    </row>
    <row r="417" spans="2:2" ht="13" x14ac:dyDescent="0.15">
      <c r="B417" s="8" t="e">
        <f t="array" aca="1" ref="B417" ca="1">XLOOKUP(A417,#REF!,#REF!)</f>
        <v>#NAME?</v>
      </c>
    </row>
    <row r="418" spans="2:2" ht="13" x14ac:dyDescent="0.15">
      <c r="B418" s="8" t="e">
        <f t="array" aca="1" ref="B418" ca="1">XLOOKUP(A418,#REF!,#REF!)</f>
        <v>#NAME?</v>
      </c>
    </row>
    <row r="419" spans="2:2" ht="13" x14ac:dyDescent="0.15">
      <c r="B419" s="8" t="e">
        <f t="array" aca="1" ref="B419" ca="1">XLOOKUP(A419,#REF!,#REF!)</f>
        <v>#NAME?</v>
      </c>
    </row>
    <row r="420" spans="2:2" ht="13" x14ac:dyDescent="0.15">
      <c r="B420" s="8" t="e">
        <f t="array" aca="1" ref="B420" ca="1">XLOOKUP(A420,#REF!,#REF!)</f>
        <v>#NAME?</v>
      </c>
    </row>
    <row r="421" spans="2:2" ht="13" x14ac:dyDescent="0.15">
      <c r="B421" s="8" t="e">
        <f t="array" aca="1" ref="B421" ca="1">XLOOKUP(A421,#REF!,#REF!)</f>
        <v>#NAME?</v>
      </c>
    </row>
    <row r="422" spans="2:2" ht="13" x14ac:dyDescent="0.15">
      <c r="B422" s="8" t="e">
        <f t="array" aca="1" ref="B422" ca="1">XLOOKUP(A422,#REF!,#REF!)</f>
        <v>#NAME?</v>
      </c>
    </row>
    <row r="423" spans="2:2" ht="13" x14ac:dyDescent="0.15">
      <c r="B423" s="8" t="e">
        <f t="array" aca="1" ref="B423" ca="1">XLOOKUP(A423,#REF!,#REF!)</f>
        <v>#NAME?</v>
      </c>
    </row>
    <row r="424" spans="2:2" ht="13" x14ac:dyDescent="0.15">
      <c r="B424" s="8" t="e">
        <f t="array" aca="1" ref="B424" ca="1">XLOOKUP(A424,#REF!,#REF!)</f>
        <v>#NAME?</v>
      </c>
    </row>
    <row r="425" spans="2:2" ht="13" x14ac:dyDescent="0.15">
      <c r="B425" s="8" t="e">
        <f t="array" aca="1" ref="B425" ca="1">XLOOKUP(A425,#REF!,#REF!)</f>
        <v>#NAME?</v>
      </c>
    </row>
    <row r="426" spans="2:2" ht="13" x14ac:dyDescent="0.15">
      <c r="B426" s="8" t="e">
        <f t="array" aca="1" ref="B426" ca="1">XLOOKUP(A426,#REF!,#REF!)</f>
        <v>#NAME?</v>
      </c>
    </row>
    <row r="427" spans="2:2" ht="13" x14ac:dyDescent="0.15">
      <c r="B427" s="8" t="e">
        <f t="array" aca="1" ref="B427" ca="1">XLOOKUP(A427,#REF!,#REF!)</f>
        <v>#NAME?</v>
      </c>
    </row>
    <row r="428" spans="2:2" ht="13" x14ac:dyDescent="0.15">
      <c r="B428" s="8" t="e">
        <f t="array" aca="1" ref="B428" ca="1">XLOOKUP(A428,#REF!,#REF!)</f>
        <v>#NAME?</v>
      </c>
    </row>
    <row r="429" spans="2:2" ht="13" x14ac:dyDescent="0.15">
      <c r="B429" s="8" t="e">
        <f t="array" aca="1" ref="B429" ca="1">XLOOKUP(A429,#REF!,#REF!)</f>
        <v>#NAME?</v>
      </c>
    </row>
    <row r="430" spans="2:2" ht="13" x14ac:dyDescent="0.15">
      <c r="B430" s="8" t="e">
        <f t="array" aca="1" ref="B430" ca="1">XLOOKUP(A430,#REF!,#REF!)</f>
        <v>#NAME?</v>
      </c>
    </row>
    <row r="431" spans="2:2" ht="13" x14ac:dyDescent="0.15">
      <c r="B431" s="8" t="e">
        <f t="array" aca="1" ref="B431" ca="1">XLOOKUP(A431,#REF!,#REF!)</f>
        <v>#NAME?</v>
      </c>
    </row>
    <row r="432" spans="2:2" ht="13" x14ac:dyDescent="0.15">
      <c r="B432" s="8" t="e">
        <f t="array" aca="1" ref="B432" ca="1">XLOOKUP(A432,#REF!,#REF!)</f>
        <v>#NAME?</v>
      </c>
    </row>
    <row r="433" spans="2:2" ht="13" x14ac:dyDescent="0.15">
      <c r="B433" s="8" t="e">
        <f t="array" aca="1" ref="B433" ca="1">XLOOKUP(A433,#REF!,#REF!)</f>
        <v>#NAME?</v>
      </c>
    </row>
    <row r="434" spans="2:2" ht="13" x14ac:dyDescent="0.15">
      <c r="B434" s="8" t="e">
        <f t="array" aca="1" ref="B434" ca="1">XLOOKUP(A434,#REF!,#REF!)</f>
        <v>#NAME?</v>
      </c>
    </row>
    <row r="435" spans="2:2" ht="13" x14ac:dyDescent="0.15">
      <c r="B435" s="8" t="e">
        <f t="array" aca="1" ref="B435" ca="1">XLOOKUP(A435,#REF!,#REF!)</f>
        <v>#NAME?</v>
      </c>
    </row>
    <row r="436" spans="2:2" ht="13" x14ac:dyDescent="0.15">
      <c r="B436" s="8" t="e">
        <f t="array" aca="1" ref="B436" ca="1">XLOOKUP(A436,#REF!,#REF!)</f>
        <v>#NAME?</v>
      </c>
    </row>
    <row r="437" spans="2:2" ht="13" x14ac:dyDescent="0.15">
      <c r="B437" s="8" t="e">
        <f t="array" aca="1" ref="B437" ca="1">XLOOKUP(A437,#REF!,#REF!)</f>
        <v>#NAME?</v>
      </c>
    </row>
    <row r="438" spans="2:2" ht="13" x14ac:dyDescent="0.15">
      <c r="B438" s="8" t="e">
        <f t="array" aca="1" ref="B438" ca="1">XLOOKUP(A438,#REF!,#REF!)</f>
        <v>#NAME?</v>
      </c>
    </row>
    <row r="439" spans="2:2" ht="13" x14ac:dyDescent="0.15">
      <c r="B439" s="8" t="e">
        <f t="array" aca="1" ref="B439" ca="1">XLOOKUP(A439,#REF!,#REF!)</f>
        <v>#NAME?</v>
      </c>
    </row>
    <row r="440" spans="2:2" ht="13" x14ac:dyDescent="0.15">
      <c r="B440" s="8" t="e">
        <f t="array" aca="1" ref="B440" ca="1">XLOOKUP(A440,#REF!,#REF!)</f>
        <v>#NAME?</v>
      </c>
    </row>
    <row r="441" spans="2:2" ht="13" x14ac:dyDescent="0.15">
      <c r="B441" s="8" t="e">
        <f t="array" aca="1" ref="B441" ca="1">XLOOKUP(A441,#REF!,#REF!)</f>
        <v>#NAME?</v>
      </c>
    </row>
    <row r="442" spans="2:2" ht="13" x14ac:dyDescent="0.15">
      <c r="B442" s="8" t="e">
        <f t="array" aca="1" ref="B442" ca="1">XLOOKUP(A442,#REF!,#REF!)</f>
        <v>#NAME?</v>
      </c>
    </row>
    <row r="443" spans="2:2" ht="13" x14ac:dyDescent="0.15">
      <c r="B443" s="8" t="e">
        <f t="array" aca="1" ref="B443" ca="1">XLOOKUP(A443,#REF!,#REF!)</f>
        <v>#NAME?</v>
      </c>
    </row>
    <row r="444" spans="2:2" ht="13" x14ac:dyDescent="0.15">
      <c r="B444" s="8" t="e">
        <f t="array" aca="1" ref="B444" ca="1">XLOOKUP(A444,#REF!,#REF!)</f>
        <v>#NAME?</v>
      </c>
    </row>
    <row r="445" spans="2:2" ht="13" x14ac:dyDescent="0.15">
      <c r="B445" s="8" t="e">
        <f t="array" aca="1" ref="B445" ca="1">XLOOKUP(A445,#REF!,#REF!)</f>
        <v>#NAME?</v>
      </c>
    </row>
    <row r="446" spans="2:2" ht="13" x14ac:dyDescent="0.15">
      <c r="B446" s="8" t="e">
        <f t="array" aca="1" ref="B446" ca="1">XLOOKUP(A446,#REF!,#REF!)</f>
        <v>#NAME?</v>
      </c>
    </row>
    <row r="447" spans="2:2" ht="13" x14ac:dyDescent="0.15">
      <c r="B447" s="8" t="e">
        <f t="array" aca="1" ref="B447" ca="1">XLOOKUP(A447,#REF!,#REF!)</f>
        <v>#NAME?</v>
      </c>
    </row>
    <row r="448" spans="2:2" ht="13" x14ac:dyDescent="0.15">
      <c r="B448" s="8" t="e">
        <f t="array" aca="1" ref="B448" ca="1">XLOOKUP(A448,#REF!,#REF!)</f>
        <v>#NAME?</v>
      </c>
    </row>
    <row r="449" spans="2:2" ht="13" x14ac:dyDescent="0.15">
      <c r="B449" s="8" t="e">
        <f t="array" aca="1" ref="B449" ca="1">XLOOKUP(A449,#REF!,#REF!)</f>
        <v>#NAME?</v>
      </c>
    </row>
    <row r="450" spans="2:2" ht="13" x14ac:dyDescent="0.15">
      <c r="B450" s="8" t="e">
        <f t="array" aca="1" ref="B450" ca="1">XLOOKUP(A450,#REF!,#REF!)</f>
        <v>#NAME?</v>
      </c>
    </row>
    <row r="451" spans="2:2" ht="13" x14ac:dyDescent="0.15">
      <c r="B451" s="8" t="e">
        <f t="array" aca="1" ref="B451" ca="1">XLOOKUP(A451,#REF!,#REF!)</f>
        <v>#NAME?</v>
      </c>
    </row>
    <row r="452" spans="2:2" ht="13" x14ac:dyDescent="0.15">
      <c r="B452" s="8" t="e">
        <f t="array" aca="1" ref="B452" ca="1">XLOOKUP(A452,#REF!,#REF!)</f>
        <v>#NAME?</v>
      </c>
    </row>
    <row r="453" spans="2:2" ht="13" x14ac:dyDescent="0.15">
      <c r="B453" s="8" t="e">
        <f t="array" aca="1" ref="B453" ca="1">XLOOKUP(A453,#REF!,#REF!)</f>
        <v>#NAME?</v>
      </c>
    </row>
    <row r="454" spans="2:2" ht="13" x14ac:dyDescent="0.15">
      <c r="B454" s="8" t="e">
        <f t="array" aca="1" ref="B454" ca="1">XLOOKUP(A454,#REF!,#REF!)</f>
        <v>#NAME?</v>
      </c>
    </row>
    <row r="455" spans="2:2" ht="13" x14ac:dyDescent="0.15">
      <c r="B455" s="8" t="e">
        <f t="array" aca="1" ref="B455" ca="1">XLOOKUP(A455,#REF!,#REF!)</f>
        <v>#NAME?</v>
      </c>
    </row>
    <row r="456" spans="2:2" ht="13" x14ac:dyDescent="0.15">
      <c r="B456" s="8" t="e">
        <f t="array" aca="1" ref="B456" ca="1">XLOOKUP(A456,#REF!,#REF!)</f>
        <v>#NAME?</v>
      </c>
    </row>
    <row r="457" spans="2:2" ht="13" x14ac:dyDescent="0.15">
      <c r="B457" s="8" t="e">
        <f t="array" aca="1" ref="B457" ca="1">XLOOKUP(A457,#REF!,#REF!)</f>
        <v>#NAME?</v>
      </c>
    </row>
    <row r="458" spans="2:2" ht="13" x14ac:dyDescent="0.15">
      <c r="B458" s="8" t="e">
        <f t="array" aca="1" ref="B458" ca="1">XLOOKUP(A458,#REF!,#REF!)</f>
        <v>#NAME?</v>
      </c>
    </row>
    <row r="459" spans="2:2" ht="13" x14ac:dyDescent="0.15">
      <c r="B459" s="8" t="e">
        <f t="array" aca="1" ref="B459" ca="1">XLOOKUP(A459,#REF!,#REF!)</f>
        <v>#NAME?</v>
      </c>
    </row>
    <row r="460" spans="2:2" ht="13" x14ac:dyDescent="0.15">
      <c r="B460" s="8" t="e">
        <f t="array" aca="1" ref="B460" ca="1">XLOOKUP(A460,#REF!,#REF!)</f>
        <v>#NAME?</v>
      </c>
    </row>
    <row r="461" spans="2:2" ht="13" x14ac:dyDescent="0.15">
      <c r="B461" s="8" t="e">
        <f t="array" aca="1" ref="B461" ca="1">XLOOKUP(A461,#REF!,#REF!)</f>
        <v>#NAME?</v>
      </c>
    </row>
    <row r="462" spans="2:2" ht="13" x14ac:dyDescent="0.15">
      <c r="B462" s="8" t="e">
        <f t="array" aca="1" ref="B462" ca="1">XLOOKUP(A462,#REF!,#REF!)</f>
        <v>#NAME?</v>
      </c>
    </row>
    <row r="463" spans="2:2" ht="13" x14ac:dyDescent="0.15">
      <c r="B463" s="8" t="e">
        <f t="array" aca="1" ref="B463" ca="1">XLOOKUP(A463,#REF!,#REF!)</f>
        <v>#NAME?</v>
      </c>
    </row>
    <row r="464" spans="2:2" ht="13" x14ac:dyDescent="0.15">
      <c r="B464" s="8" t="e">
        <f t="array" aca="1" ref="B464" ca="1">XLOOKUP(A464,#REF!,#REF!)</f>
        <v>#NAME?</v>
      </c>
    </row>
    <row r="465" spans="2:2" ht="13" x14ac:dyDescent="0.15">
      <c r="B465" s="8" t="e">
        <f t="array" aca="1" ref="B465" ca="1">XLOOKUP(A465,#REF!,#REF!)</f>
        <v>#NAME?</v>
      </c>
    </row>
    <row r="466" spans="2:2" ht="13" x14ac:dyDescent="0.15">
      <c r="B466" s="8" t="e">
        <f t="array" aca="1" ref="B466" ca="1">XLOOKUP(A466,#REF!,#REF!)</f>
        <v>#NAME?</v>
      </c>
    </row>
    <row r="467" spans="2:2" ht="13" x14ac:dyDescent="0.15">
      <c r="B467" s="8" t="e">
        <f t="array" aca="1" ref="B467" ca="1">XLOOKUP(A467,#REF!,#REF!)</f>
        <v>#NAME?</v>
      </c>
    </row>
    <row r="468" spans="2:2" ht="13" x14ac:dyDescent="0.15">
      <c r="B468" s="8" t="e">
        <f t="array" aca="1" ref="B468" ca="1">XLOOKUP(A468,#REF!,#REF!)</f>
        <v>#NAME?</v>
      </c>
    </row>
    <row r="469" spans="2:2" ht="13" x14ac:dyDescent="0.15">
      <c r="B469" s="8" t="e">
        <f t="array" aca="1" ref="B469" ca="1">XLOOKUP(A469,#REF!,#REF!)</f>
        <v>#NAME?</v>
      </c>
    </row>
    <row r="470" spans="2:2" ht="13" x14ac:dyDescent="0.15">
      <c r="B470" s="8" t="e">
        <f t="array" aca="1" ref="B470" ca="1">XLOOKUP(A470,#REF!,#REF!)</f>
        <v>#NAME?</v>
      </c>
    </row>
    <row r="471" spans="2:2" ht="13" x14ac:dyDescent="0.15">
      <c r="B471" s="8" t="e">
        <f t="array" aca="1" ref="B471" ca="1">XLOOKUP(A471,#REF!,#REF!)</f>
        <v>#NAME?</v>
      </c>
    </row>
    <row r="472" spans="2:2" ht="13" x14ac:dyDescent="0.15">
      <c r="B472" s="8" t="e">
        <f t="array" aca="1" ref="B472" ca="1">XLOOKUP(A472,#REF!,#REF!)</f>
        <v>#NAME?</v>
      </c>
    </row>
    <row r="473" spans="2:2" ht="13" x14ac:dyDescent="0.15">
      <c r="B473" s="8" t="e">
        <f t="array" aca="1" ref="B473" ca="1">XLOOKUP(A473,#REF!,#REF!)</f>
        <v>#NAME?</v>
      </c>
    </row>
    <row r="474" spans="2:2" ht="13" x14ac:dyDescent="0.15">
      <c r="B474" s="8" t="e">
        <f t="array" aca="1" ref="B474" ca="1">XLOOKUP(A474,#REF!,#REF!)</f>
        <v>#NAME?</v>
      </c>
    </row>
    <row r="475" spans="2:2" ht="13" x14ac:dyDescent="0.15">
      <c r="B475" s="8" t="e">
        <f t="array" aca="1" ref="B475" ca="1">XLOOKUP(A475,#REF!,#REF!)</f>
        <v>#NAME?</v>
      </c>
    </row>
    <row r="476" spans="2:2" ht="13" x14ac:dyDescent="0.15">
      <c r="B476" s="8" t="e">
        <f t="array" aca="1" ref="B476" ca="1">XLOOKUP(A476,#REF!,#REF!)</f>
        <v>#NAME?</v>
      </c>
    </row>
    <row r="477" spans="2:2" ht="13" x14ac:dyDescent="0.15">
      <c r="B477" s="8" t="e">
        <f t="array" aca="1" ref="B477" ca="1">XLOOKUP(A477,#REF!,#REF!)</f>
        <v>#NAME?</v>
      </c>
    </row>
    <row r="478" spans="2:2" ht="13" x14ac:dyDescent="0.15">
      <c r="B478" s="8" t="e">
        <f t="array" aca="1" ref="B478" ca="1">XLOOKUP(A478,#REF!,#REF!)</f>
        <v>#NAME?</v>
      </c>
    </row>
    <row r="479" spans="2:2" ht="13" x14ac:dyDescent="0.15">
      <c r="B479" s="8" t="e">
        <f t="array" aca="1" ref="B479" ca="1">XLOOKUP(A479,#REF!,#REF!)</f>
        <v>#NAME?</v>
      </c>
    </row>
    <row r="480" spans="2:2" ht="13" x14ac:dyDescent="0.15">
      <c r="B480" s="8" t="e">
        <f t="array" aca="1" ref="B480" ca="1">XLOOKUP(A480,#REF!,#REF!)</f>
        <v>#NAME?</v>
      </c>
    </row>
    <row r="481" spans="2:2" ht="13" x14ac:dyDescent="0.15">
      <c r="B481" s="8" t="e">
        <f t="array" aca="1" ref="B481" ca="1">XLOOKUP(A481,#REF!,#REF!)</f>
        <v>#NAME?</v>
      </c>
    </row>
    <row r="482" spans="2:2" ht="13" x14ac:dyDescent="0.15">
      <c r="B482" s="8" t="e">
        <f t="array" aca="1" ref="B482" ca="1">XLOOKUP(A482,#REF!,#REF!)</f>
        <v>#NAME?</v>
      </c>
    </row>
    <row r="483" spans="2:2" ht="13" x14ac:dyDescent="0.15">
      <c r="B483" s="8" t="e">
        <f t="array" aca="1" ref="B483" ca="1">XLOOKUP(A483,#REF!,#REF!)</f>
        <v>#NAME?</v>
      </c>
    </row>
    <row r="484" spans="2:2" ht="13" x14ac:dyDescent="0.15">
      <c r="B484" s="8" t="e">
        <f t="array" aca="1" ref="B484" ca="1">XLOOKUP(A484,#REF!,#REF!)</f>
        <v>#NAME?</v>
      </c>
    </row>
    <row r="485" spans="2:2" ht="13" x14ac:dyDescent="0.15">
      <c r="B485" s="8" t="e">
        <f t="array" aca="1" ref="B485" ca="1">XLOOKUP(A485,#REF!,#REF!)</f>
        <v>#NAME?</v>
      </c>
    </row>
    <row r="486" spans="2:2" ht="13" x14ac:dyDescent="0.15">
      <c r="B486" s="8" t="e">
        <f t="array" aca="1" ref="B486" ca="1">XLOOKUP(A486,#REF!,#REF!)</f>
        <v>#NAME?</v>
      </c>
    </row>
    <row r="487" spans="2:2" ht="13" x14ac:dyDescent="0.15">
      <c r="B487" s="8" t="e">
        <f t="array" aca="1" ref="B487" ca="1">XLOOKUP(A487,#REF!,#REF!)</f>
        <v>#NAME?</v>
      </c>
    </row>
    <row r="488" spans="2:2" ht="13" x14ac:dyDescent="0.15">
      <c r="B488" s="8" t="e">
        <f t="array" aca="1" ref="B488" ca="1">XLOOKUP(A488,#REF!,#REF!)</f>
        <v>#NAME?</v>
      </c>
    </row>
    <row r="489" spans="2:2" ht="13" x14ac:dyDescent="0.15">
      <c r="B489" s="8" t="e">
        <f t="array" aca="1" ref="B489" ca="1">XLOOKUP(A489,#REF!,#REF!)</f>
        <v>#NAME?</v>
      </c>
    </row>
    <row r="490" spans="2:2" ht="13" x14ac:dyDescent="0.15">
      <c r="B490" s="8" t="e">
        <f t="array" aca="1" ref="B490" ca="1">XLOOKUP(A490,#REF!,#REF!)</f>
        <v>#NAME?</v>
      </c>
    </row>
    <row r="491" spans="2:2" ht="13" x14ac:dyDescent="0.15">
      <c r="B491" s="8" t="e">
        <f t="array" aca="1" ref="B491" ca="1">XLOOKUP(A491,#REF!,#REF!)</f>
        <v>#NAME?</v>
      </c>
    </row>
    <row r="492" spans="2:2" ht="13" x14ac:dyDescent="0.15">
      <c r="B492" s="8" t="e">
        <f t="array" aca="1" ref="B492" ca="1">XLOOKUP(A492,#REF!,#REF!)</f>
        <v>#NAME?</v>
      </c>
    </row>
    <row r="493" spans="2:2" ht="13" x14ac:dyDescent="0.15">
      <c r="B493" s="8" t="e">
        <f t="array" aca="1" ref="B493" ca="1">XLOOKUP(A493,#REF!,#REF!)</f>
        <v>#NAME?</v>
      </c>
    </row>
    <row r="494" spans="2:2" ht="13" x14ac:dyDescent="0.15">
      <c r="B494" s="8" t="e">
        <f t="array" aca="1" ref="B494" ca="1">XLOOKUP(A494,#REF!,#REF!)</f>
        <v>#NAME?</v>
      </c>
    </row>
    <row r="495" spans="2:2" ht="13" x14ac:dyDescent="0.15">
      <c r="B495" s="8" t="e">
        <f t="array" aca="1" ref="B495" ca="1">XLOOKUP(A495,#REF!,#REF!)</f>
        <v>#NAME?</v>
      </c>
    </row>
    <row r="496" spans="2:2" ht="13" x14ac:dyDescent="0.15">
      <c r="B496" s="8" t="e">
        <f t="array" aca="1" ref="B496" ca="1">XLOOKUP(A496,#REF!,#REF!)</f>
        <v>#NAME?</v>
      </c>
    </row>
    <row r="497" spans="2:2" ht="13" x14ac:dyDescent="0.15">
      <c r="B497" s="8" t="e">
        <f t="array" aca="1" ref="B497" ca="1">XLOOKUP(A497,#REF!,#REF!)</f>
        <v>#NAME?</v>
      </c>
    </row>
    <row r="498" spans="2:2" ht="13" x14ac:dyDescent="0.15">
      <c r="B498" s="8" t="e">
        <f t="array" aca="1" ref="B498" ca="1">XLOOKUP(A498,#REF!,#REF!)</f>
        <v>#NAME?</v>
      </c>
    </row>
    <row r="499" spans="2:2" ht="13" x14ac:dyDescent="0.15">
      <c r="B499" s="8" t="e">
        <f t="array" aca="1" ref="B499" ca="1">XLOOKUP(A499,#REF!,#REF!)</f>
        <v>#NAME?</v>
      </c>
    </row>
    <row r="500" spans="2:2" ht="13" x14ac:dyDescent="0.15">
      <c r="B500" s="8" t="e">
        <f t="array" aca="1" ref="B500" ca="1">XLOOKUP(A500,#REF!,#REF!)</f>
        <v>#NAME?</v>
      </c>
    </row>
    <row r="501" spans="2:2" ht="13" x14ac:dyDescent="0.15">
      <c r="B501" s="8" t="e">
        <f t="array" aca="1" ref="B501" ca="1">XLOOKUP(A501,#REF!,#REF!)</f>
        <v>#NAME?</v>
      </c>
    </row>
    <row r="502" spans="2:2" ht="13" x14ac:dyDescent="0.15">
      <c r="B502" s="8" t="e">
        <f t="array" aca="1" ref="B502" ca="1">XLOOKUP(A502,#REF!,#REF!)</f>
        <v>#NAME?</v>
      </c>
    </row>
    <row r="503" spans="2:2" ht="13" x14ac:dyDescent="0.15">
      <c r="B503" s="8" t="e">
        <f t="array" aca="1" ref="B503" ca="1">XLOOKUP(A503,#REF!,#REF!)</f>
        <v>#NAME?</v>
      </c>
    </row>
    <row r="504" spans="2:2" ht="13" x14ac:dyDescent="0.15">
      <c r="B504" s="8" t="e">
        <f t="array" aca="1" ref="B504" ca="1">XLOOKUP(A504,#REF!,#REF!)</f>
        <v>#NAME?</v>
      </c>
    </row>
    <row r="505" spans="2:2" ht="13" x14ac:dyDescent="0.15">
      <c r="B505" s="8" t="e">
        <f t="array" aca="1" ref="B505" ca="1">XLOOKUP(A505,#REF!,#REF!)</f>
        <v>#NAME?</v>
      </c>
    </row>
    <row r="506" spans="2:2" ht="13" x14ac:dyDescent="0.15">
      <c r="B506" s="8" t="e">
        <f t="array" aca="1" ref="B506" ca="1">XLOOKUP(A506,#REF!,#REF!)</f>
        <v>#NAME?</v>
      </c>
    </row>
    <row r="507" spans="2:2" ht="13" x14ac:dyDescent="0.15">
      <c r="B507" s="8" t="e">
        <f t="array" aca="1" ref="B507" ca="1">XLOOKUP(A507,#REF!,#REF!)</f>
        <v>#NAME?</v>
      </c>
    </row>
    <row r="508" spans="2:2" ht="13" x14ac:dyDescent="0.15">
      <c r="B508" s="8" t="e">
        <f t="array" aca="1" ref="B508" ca="1">XLOOKUP(A508,#REF!,#REF!)</f>
        <v>#NAME?</v>
      </c>
    </row>
    <row r="509" spans="2:2" ht="13" x14ac:dyDescent="0.15">
      <c r="B509" s="8" t="e">
        <f t="array" aca="1" ref="B509" ca="1">XLOOKUP(A509,#REF!,#REF!)</f>
        <v>#NAME?</v>
      </c>
    </row>
    <row r="510" spans="2:2" ht="13" x14ac:dyDescent="0.15">
      <c r="B510" s="8" t="e">
        <f t="array" aca="1" ref="B510" ca="1">XLOOKUP(A510,#REF!,#REF!)</f>
        <v>#NAME?</v>
      </c>
    </row>
    <row r="511" spans="2:2" ht="13" x14ac:dyDescent="0.15">
      <c r="B511" s="8" t="e">
        <f t="array" aca="1" ref="B511" ca="1">XLOOKUP(A511,#REF!,#REF!)</f>
        <v>#NAME?</v>
      </c>
    </row>
    <row r="512" spans="2:2" ht="13" x14ac:dyDescent="0.15">
      <c r="B512" s="8" t="e">
        <f t="array" aca="1" ref="B512" ca="1">XLOOKUP(A512,#REF!,#REF!)</f>
        <v>#NAME?</v>
      </c>
    </row>
    <row r="513" spans="2:2" ht="13" x14ac:dyDescent="0.15">
      <c r="B513" s="8" t="e">
        <f t="array" aca="1" ref="B513" ca="1">XLOOKUP(A513,#REF!,#REF!)</f>
        <v>#NAME?</v>
      </c>
    </row>
    <row r="514" spans="2:2" ht="13" x14ac:dyDescent="0.15">
      <c r="B514" s="8" t="e">
        <f t="array" aca="1" ref="B514" ca="1">XLOOKUP(A514,#REF!,#REF!)</f>
        <v>#NAME?</v>
      </c>
    </row>
    <row r="515" spans="2:2" ht="13" x14ac:dyDescent="0.15">
      <c r="B515" s="8" t="e">
        <f t="array" aca="1" ref="B515" ca="1">XLOOKUP(A515,#REF!,#REF!)</f>
        <v>#NAME?</v>
      </c>
    </row>
    <row r="516" spans="2:2" ht="13" x14ac:dyDescent="0.15">
      <c r="B516" s="8" t="e">
        <f t="array" aca="1" ref="B516" ca="1">XLOOKUP(A516,#REF!,#REF!)</f>
        <v>#NAME?</v>
      </c>
    </row>
    <row r="517" spans="2:2" ht="13" x14ac:dyDescent="0.15">
      <c r="B517" s="8" t="e">
        <f t="array" aca="1" ref="B517" ca="1">XLOOKUP(A517,#REF!,#REF!)</f>
        <v>#NAME?</v>
      </c>
    </row>
    <row r="518" spans="2:2" ht="13" x14ac:dyDescent="0.15">
      <c r="B518" s="8" t="e">
        <f t="array" aca="1" ref="B518" ca="1">XLOOKUP(A518,#REF!,#REF!)</f>
        <v>#NAME?</v>
      </c>
    </row>
    <row r="519" spans="2:2" ht="13" x14ac:dyDescent="0.15">
      <c r="B519" s="8" t="e">
        <f t="array" aca="1" ref="B519" ca="1">XLOOKUP(A519,#REF!,#REF!)</f>
        <v>#NAME?</v>
      </c>
    </row>
    <row r="520" spans="2:2" ht="13" x14ac:dyDescent="0.15">
      <c r="B520" s="8" t="e">
        <f t="array" aca="1" ref="B520" ca="1">XLOOKUP(A520,#REF!,#REF!)</f>
        <v>#NAME?</v>
      </c>
    </row>
    <row r="521" spans="2:2" ht="13" x14ac:dyDescent="0.15">
      <c r="B521" s="8" t="e">
        <f t="array" aca="1" ref="B521" ca="1">XLOOKUP(A521,#REF!,#REF!)</f>
        <v>#NAME?</v>
      </c>
    </row>
    <row r="522" spans="2:2" ht="13" x14ac:dyDescent="0.15">
      <c r="B522" s="8" t="e">
        <f t="array" aca="1" ref="B522" ca="1">XLOOKUP(A522,#REF!,#REF!)</f>
        <v>#NAME?</v>
      </c>
    </row>
    <row r="523" spans="2:2" ht="13" x14ac:dyDescent="0.15">
      <c r="B523" s="8" t="e">
        <f t="array" aca="1" ref="B523" ca="1">XLOOKUP(A523,#REF!,#REF!)</f>
        <v>#NAME?</v>
      </c>
    </row>
    <row r="524" spans="2:2" ht="13" x14ac:dyDescent="0.15">
      <c r="B524" s="8" t="e">
        <f t="array" aca="1" ref="B524" ca="1">XLOOKUP(A524,#REF!,#REF!)</f>
        <v>#NAME?</v>
      </c>
    </row>
    <row r="525" spans="2:2" ht="13" x14ac:dyDescent="0.15">
      <c r="B525" s="8" t="e">
        <f t="array" aca="1" ref="B525" ca="1">XLOOKUP(A525,#REF!,#REF!)</f>
        <v>#NAME?</v>
      </c>
    </row>
    <row r="526" spans="2:2" ht="13" x14ac:dyDescent="0.15">
      <c r="B526" s="8" t="e">
        <f t="array" aca="1" ref="B526" ca="1">XLOOKUP(A526,#REF!,#REF!)</f>
        <v>#NAME?</v>
      </c>
    </row>
    <row r="527" spans="2:2" ht="13" x14ac:dyDescent="0.15">
      <c r="B527" s="8" t="e">
        <f t="array" aca="1" ref="B527" ca="1">XLOOKUP(A527,#REF!,#REF!)</f>
        <v>#NAME?</v>
      </c>
    </row>
    <row r="528" spans="2:2" ht="13" x14ac:dyDescent="0.15">
      <c r="B528" s="8" t="e">
        <f t="array" aca="1" ref="B528" ca="1">XLOOKUP(A528,#REF!,#REF!)</f>
        <v>#NAME?</v>
      </c>
    </row>
    <row r="529" spans="2:2" ht="13" x14ac:dyDescent="0.15">
      <c r="B529" s="8" t="e">
        <f t="array" aca="1" ref="B529" ca="1">XLOOKUP(A529,#REF!,#REF!)</f>
        <v>#NAME?</v>
      </c>
    </row>
    <row r="530" spans="2:2" ht="13" x14ac:dyDescent="0.15">
      <c r="B530" s="8" t="e">
        <f t="array" aca="1" ref="B530" ca="1">XLOOKUP(A530,#REF!,#REF!)</f>
        <v>#NAME?</v>
      </c>
    </row>
    <row r="531" spans="2:2" ht="13" x14ac:dyDescent="0.15">
      <c r="B531" s="8" t="e">
        <f t="array" aca="1" ref="B531" ca="1">XLOOKUP(A531,#REF!,#REF!)</f>
        <v>#NAME?</v>
      </c>
    </row>
    <row r="532" spans="2:2" ht="13" x14ac:dyDescent="0.15">
      <c r="B532" s="8" t="e">
        <f t="array" aca="1" ref="B532" ca="1">XLOOKUP(A532,#REF!,#REF!)</f>
        <v>#NAME?</v>
      </c>
    </row>
    <row r="533" spans="2:2" ht="13" x14ac:dyDescent="0.15">
      <c r="B533" s="8" t="e">
        <f t="array" aca="1" ref="B533" ca="1">XLOOKUP(A533,#REF!,#REF!)</f>
        <v>#NAME?</v>
      </c>
    </row>
    <row r="534" spans="2:2" ht="13" x14ac:dyDescent="0.15">
      <c r="B534" s="8" t="e">
        <f t="array" aca="1" ref="B534" ca="1">XLOOKUP(A534,#REF!,#REF!)</f>
        <v>#NAME?</v>
      </c>
    </row>
    <row r="535" spans="2:2" ht="13" x14ac:dyDescent="0.15">
      <c r="B535" s="8" t="e">
        <f t="array" aca="1" ref="B535" ca="1">XLOOKUP(A535,#REF!,#REF!)</f>
        <v>#NAME?</v>
      </c>
    </row>
    <row r="536" spans="2:2" ht="13" x14ac:dyDescent="0.15">
      <c r="B536" s="8" t="e">
        <f t="array" aca="1" ref="B536" ca="1">XLOOKUP(A536,#REF!,#REF!)</f>
        <v>#NAME?</v>
      </c>
    </row>
    <row r="537" spans="2:2" ht="13" x14ac:dyDescent="0.15">
      <c r="B537" s="8" t="e">
        <f t="array" aca="1" ref="B537" ca="1">XLOOKUP(A537,#REF!,#REF!)</f>
        <v>#NAME?</v>
      </c>
    </row>
    <row r="538" spans="2:2" ht="13" x14ac:dyDescent="0.15">
      <c r="B538" s="8" t="e">
        <f t="array" aca="1" ref="B538" ca="1">XLOOKUP(A538,#REF!,#REF!)</f>
        <v>#NAME?</v>
      </c>
    </row>
    <row r="539" spans="2:2" ht="13" x14ac:dyDescent="0.15">
      <c r="B539" s="8" t="e">
        <f t="array" aca="1" ref="B539" ca="1">XLOOKUP(A539,#REF!,#REF!)</f>
        <v>#NAME?</v>
      </c>
    </row>
    <row r="540" spans="2:2" ht="13" x14ac:dyDescent="0.15">
      <c r="B540" s="8" t="e">
        <f t="array" aca="1" ref="B540" ca="1">XLOOKUP(A540,#REF!,#REF!)</f>
        <v>#NAME?</v>
      </c>
    </row>
    <row r="541" spans="2:2" ht="13" x14ac:dyDescent="0.15">
      <c r="B541" s="8" t="e">
        <f t="array" aca="1" ref="B541" ca="1">XLOOKUP(A541,#REF!,#REF!)</f>
        <v>#NAME?</v>
      </c>
    </row>
    <row r="542" spans="2:2" ht="13" x14ac:dyDescent="0.15">
      <c r="B542" s="8" t="e">
        <f t="array" aca="1" ref="B542" ca="1">XLOOKUP(A542,#REF!,#REF!)</f>
        <v>#NAME?</v>
      </c>
    </row>
    <row r="543" spans="2:2" ht="13" x14ac:dyDescent="0.15">
      <c r="B543" s="8" t="e">
        <f t="array" aca="1" ref="B543" ca="1">XLOOKUP(A543,#REF!,#REF!)</f>
        <v>#NAME?</v>
      </c>
    </row>
    <row r="544" spans="2:2" ht="13" x14ac:dyDescent="0.15">
      <c r="B544" s="8" t="e">
        <f t="array" aca="1" ref="B544" ca="1">XLOOKUP(A544,#REF!,#REF!)</f>
        <v>#NAME?</v>
      </c>
    </row>
    <row r="545" spans="2:2" ht="13" x14ac:dyDescent="0.15">
      <c r="B545" s="8" t="e">
        <f t="array" aca="1" ref="B545" ca="1">XLOOKUP(A545,#REF!,#REF!)</f>
        <v>#NAME?</v>
      </c>
    </row>
    <row r="546" spans="2:2" ht="13" x14ac:dyDescent="0.15">
      <c r="B546" s="8" t="e">
        <f t="array" aca="1" ref="B546" ca="1">XLOOKUP(A546,#REF!,#REF!)</f>
        <v>#NAME?</v>
      </c>
    </row>
    <row r="547" spans="2:2" ht="13" x14ac:dyDescent="0.15">
      <c r="B547" s="8" t="e">
        <f t="array" aca="1" ref="B547" ca="1">XLOOKUP(A547,#REF!,#REF!)</f>
        <v>#NAME?</v>
      </c>
    </row>
    <row r="548" spans="2:2" ht="13" x14ac:dyDescent="0.15">
      <c r="B548" s="8" t="e">
        <f t="array" aca="1" ref="B548" ca="1">XLOOKUP(A548,#REF!,#REF!)</f>
        <v>#NAME?</v>
      </c>
    </row>
    <row r="549" spans="2:2" ht="13" x14ac:dyDescent="0.15">
      <c r="B549" s="8" t="e">
        <f t="array" aca="1" ref="B549" ca="1">XLOOKUP(A549,#REF!,#REF!)</f>
        <v>#NAME?</v>
      </c>
    </row>
    <row r="550" spans="2:2" ht="13" x14ac:dyDescent="0.15">
      <c r="B550" s="8" t="e">
        <f t="array" aca="1" ref="B550" ca="1">XLOOKUP(A550,#REF!,#REF!)</f>
        <v>#NAME?</v>
      </c>
    </row>
    <row r="551" spans="2:2" ht="13" x14ac:dyDescent="0.15">
      <c r="B551" s="8" t="e">
        <f t="array" aca="1" ref="B551" ca="1">XLOOKUP(A551,#REF!,#REF!)</f>
        <v>#NAME?</v>
      </c>
    </row>
    <row r="552" spans="2:2" ht="13" x14ac:dyDescent="0.15">
      <c r="B552" s="8" t="e">
        <f t="array" aca="1" ref="B552" ca="1">XLOOKUP(A552,#REF!,#REF!)</f>
        <v>#NAME?</v>
      </c>
    </row>
    <row r="553" spans="2:2" ht="13" x14ac:dyDescent="0.15">
      <c r="B553" s="8" t="e">
        <f t="array" aca="1" ref="B553" ca="1">XLOOKUP(A553,#REF!,#REF!)</f>
        <v>#NAME?</v>
      </c>
    </row>
    <row r="554" spans="2:2" ht="13" x14ac:dyDescent="0.15">
      <c r="B554" s="8" t="e">
        <f t="array" aca="1" ref="B554" ca="1">XLOOKUP(A554,#REF!,#REF!)</f>
        <v>#NAME?</v>
      </c>
    </row>
    <row r="555" spans="2:2" ht="13" x14ac:dyDescent="0.15">
      <c r="B555" s="8" t="e">
        <f t="array" aca="1" ref="B555" ca="1">XLOOKUP(A555,#REF!,#REF!)</f>
        <v>#NAME?</v>
      </c>
    </row>
    <row r="556" spans="2:2" ht="13" x14ac:dyDescent="0.15">
      <c r="B556" s="8" t="e">
        <f t="array" aca="1" ref="B556" ca="1">XLOOKUP(A556,#REF!,#REF!)</f>
        <v>#NAME?</v>
      </c>
    </row>
    <row r="557" spans="2:2" ht="13" x14ac:dyDescent="0.15">
      <c r="B557" s="8" t="e">
        <f t="array" aca="1" ref="B557" ca="1">XLOOKUP(A557,#REF!,#REF!)</f>
        <v>#NAME?</v>
      </c>
    </row>
    <row r="558" spans="2:2" ht="13" x14ac:dyDescent="0.15">
      <c r="B558" s="8" t="e">
        <f t="array" aca="1" ref="B558" ca="1">XLOOKUP(A558,#REF!,#REF!)</f>
        <v>#NAME?</v>
      </c>
    </row>
    <row r="559" spans="2:2" ht="13" x14ac:dyDescent="0.15">
      <c r="B559" s="8" t="e">
        <f t="array" aca="1" ref="B559" ca="1">XLOOKUP(A559,#REF!,#REF!)</f>
        <v>#NAME?</v>
      </c>
    </row>
    <row r="560" spans="2:2" ht="13" x14ac:dyDescent="0.15">
      <c r="B560" s="8" t="e">
        <f t="array" aca="1" ref="B560" ca="1">XLOOKUP(A560,#REF!,#REF!)</f>
        <v>#NAME?</v>
      </c>
    </row>
    <row r="561" spans="2:2" ht="13" x14ac:dyDescent="0.15">
      <c r="B561" s="8" t="e">
        <f t="array" aca="1" ref="B561" ca="1">XLOOKUP(A561,#REF!,#REF!)</f>
        <v>#NAME?</v>
      </c>
    </row>
    <row r="562" spans="2:2" ht="13" x14ac:dyDescent="0.15">
      <c r="B562" s="8" t="e">
        <f t="array" aca="1" ref="B562" ca="1">XLOOKUP(A562,#REF!,#REF!)</f>
        <v>#NAME?</v>
      </c>
    </row>
    <row r="563" spans="2:2" ht="13" x14ac:dyDescent="0.15">
      <c r="B563" s="8" t="e">
        <f t="array" aca="1" ref="B563" ca="1">XLOOKUP(A563,#REF!,#REF!)</f>
        <v>#NAME?</v>
      </c>
    </row>
    <row r="564" spans="2:2" ht="13" x14ac:dyDescent="0.15">
      <c r="B564" s="8" t="e">
        <f t="array" aca="1" ref="B564" ca="1">XLOOKUP(A564,#REF!,#REF!)</f>
        <v>#NAME?</v>
      </c>
    </row>
    <row r="565" spans="2:2" ht="13" x14ac:dyDescent="0.15">
      <c r="B565" s="8" t="e">
        <f t="array" aca="1" ref="B565" ca="1">XLOOKUP(A565,#REF!,#REF!)</f>
        <v>#NAME?</v>
      </c>
    </row>
    <row r="566" spans="2:2" ht="13" x14ac:dyDescent="0.15">
      <c r="B566" s="8" t="e">
        <f t="array" aca="1" ref="B566" ca="1">XLOOKUP(A566,#REF!,#REF!)</f>
        <v>#NAME?</v>
      </c>
    </row>
    <row r="567" spans="2:2" ht="13" x14ac:dyDescent="0.15">
      <c r="B567" s="8" t="e">
        <f t="array" aca="1" ref="B567" ca="1">XLOOKUP(A567,#REF!,#REF!)</f>
        <v>#NAME?</v>
      </c>
    </row>
    <row r="568" spans="2:2" ht="13" x14ac:dyDescent="0.15">
      <c r="B568" s="8" t="e">
        <f t="array" aca="1" ref="B568" ca="1">XLOOKUP(A568,#REF!,#REF!)</f>
        <v>#NAME?</v>
      </c>
    </row>
    <row r="569" spans="2:2" ht="13" x14ac:dyDescent="0.15">
      <c r="B569" s="8" t="e">
        <f t="array" aca="1" ref="B569" ca="1">XLOOKUP(A569,#REF!,#REF!)</f>
        <v>#NAME?</v>
      </c>
    </row>
    <row r="570" spans="2:2" ht="13" x14ac:dyDescent="0.15">
      <c r="B570" s="8" t="e">
        <f t="array" aca="1" ref="B570" ca="1">XLOOKUP(A570,#REF!,#REF!)</f>
        <v>#NAME?</v>
      </c>
    </row>
    <row r="571" spans="2:2" ht="13" x14ac:dyDescent="0.15">
      <c r="B571" s="8" t="e">
        <f t="array" aca="1" ref="B571" ca="1">XLOOKUP(A571,#REF!,#REF!)</f>
        <v>#NAME?</v>
      </c>
    </row>
    <row r="572" spans="2:2" ht="13" x14ac:dyDescent="0.15">
      <c r="B572" s="8" t="e">
        <f t="array" aca="1" ref="B572" ca="1">XLOOKUP(A572,#REF!,#REF!)</f>
        <v>#NAME?</v>
      </c>
    </row>
    <row r="573" spans="2:2" ht="13" x14ac:dyDescent="0.15">
      <c r="B573" s="8" t="e">
        <f t="array" aca="1" ref="B573" ca="1">XLOOKUP(A573,#REF!,#REF!)</f>
        <v>#NAME?</v>
      </c>
    </row>
    <row r="574" spans="2:2" ht="13" x14ac:dyDescent="0.15">
      <c r="B574" s="8" t="e">
        <f t="array" aca="1" ref="B574" ca="1">XLOOKUP(A574,#REF!,#REF!)</f>
        <v>#NAME?</v>
      </c>
    </row>
    <row r="575" spans="2:2" ht="13" x14ac:dyDescent="0.15">
      <c r="B575" s="8" t="e">
        <f t="array" aca="1" ref="B575" ca="1">XLOOKUP(A575,#REF!,#REF!)</f>
        <v>#NAME?</v>
      </c>
    </row>
    <row r="576" spans="2:2" ht="13" x14ac:dyDescent="0.15">
      <c r="B576" s="8" t="e">
        <f t="array" aca="1" ref="B576" ca="1">XLOOKUP(A576,#REF!,#REF!)</f>
        <v>#NAME?</v>
      </c>
    </row>
    <row r="577" spans="2:2" ht="13" x14ac:dyDescent="0.15">
      <c r="B577" s="8" t="e">
        <f t="array" aca="1" ref="B577" ca="1">XLOOKUP(A577,#REF!,#REF!)</f>
        <v>#NAME?</v>
      </c>
    </row>
    <row r="578" spans="2:2" ht="13" x14ac:dyDescent="0.15">
      <c r="B578" s="8" t="e">
        <f t="array" aca="1" ref="B578" ca="1">XLOOKUP(A578,#REF!,#REF!)</f>
        <v>#NAME?</v>
      </c>
    </row>
    <row r="579" spans="2:2" ht="13" x14ac:dyDescent="0.15">
      <c r="B579" s="8" t="e">
        <f t="array" aca="1" ref="B579" ca="1">XLOOKUP(A579,#REF!,#REF!)</f>
        <v>#NAME?</v>
      </c>
    </row>
    <row r="580" spans="2:2" ht="13" x14ac:dyDescent="0.15">
      <c r="B580" s="8" t="e">
        <f t="array" aca="1" ref="B580" ca="1">XLOOKUP(A580,#REF!,#REF!)</f>
        <v>#NAME?</v>
      </c>
    </row>
    <row r="581" spans="2:2" ht="13" x14ac:dyDescent="0.15">
      <c r="B581" s="8" t="e">
        <f t="array" aca="1" ref="B581" ca="1">XLOOKUP(A581,#REF!,#REF!)</f>
        <v>#NAME?</v>
      </c>
    </row>
    <row r="582" spans="2:2" ht="13" x14ac:dyDescent="0.15">
      <c r="B582" s="8" t="e">
        <f t="array" aca="1" ref="B582" ca="1">XLOOKUP(A582,#REF!,#REF!)</f>
        <v>#NAME?</v>
      </c>
    </row>
    <row r="583" spans="2:2" ht="13" x14ac:dyDescent="0.15">
      <c r="B583" s="8" t="e">
        <f t="array" aca="1" ref="B583" ca="1">XLOOKUP(A583,#REF!,#REF!)</f>
        <v>#NAME?</v>
      </c>
    </row>
    <row r="584" spans="2:2" ht="13" x14ac:dyDescent="0.15">
      <c r="B584" s="8" t="e">
        <f t="array" aca="1" ref="B584" ca="1">XLOOKUP(A584,#REF!,#REF!)</f>
        <v>#NAME?</v>
      </c>
    </row>
    <row r="585" spans="2:2" ht="13" x14ac:dyDescent="0.15">
      <c r="B585" s="8" t="e">
        <f t="array" aca="1" ref="B585" ca="1">XLOOKUP(A585,#REF!,#REF!)</f>
        <v>#NAME?</v>
      </c>
    </row>
    <row r="586" spans="2:2" ht="13" x14ac:dyDescent="0.15">
      <c r="B586" s="8" t="e">
        <f t="array" aca="1" ref="B586" ca="1">XLOOKUP(A586,#REF!,#REF!)</f>
        <v>#NAME?</v>
      </c>
    </row>
    <row r="587" spans="2:2" ht="13" x14ac:dyDescent="0.15">
      <c r="B587" s="8" t="e">
        <f t="array" aca="1" ref="B587" ca="1">XLOOKUP(A587,#REF!,#REF!)</f>
        <v>#NAME?</v>
      </c>
    </row>
    <row r="588" spans="2:2" ht="13" x14ac:dyDescent="0.15">
      <c r="B588" s="8" t="e">
        <f t="array" aca="1" ref="B588" ca="1">XLOOKUP(A588,#REF!,#REF!)</f>
        <v>#NAME?</v>
      </c>
    </row>
    <row r="589" spans="2:2" ht="13" x14ac:dyDescent="0.15">
      <c r="B589" s="8" t="e">
        <f t="array" aca="1" ref="B589" ca="1">XLOOKUP(A589,#REF!,#REF!)</f>
        <v>#NAME?</v>
      </c>
    </row>
    <row r="590" spans="2:2" ht="13" x14ac:dyDescent="0.15">
      <c r="B590" s="8" t="e">
        <f t="array" aca="1" ref="B590" ca="1">XLOOKUP(A590,#REF!,#REF!)</f>
        <v>#NAME?</v>
      </c>
    </row>
    <row r="591" spans="2:2" ht="13" x14ac:dyDescent="0.15">
      <c r="B591" s="8" t="e">
        <f t="array" aca="1" ref="B591" ca="1">XLOOKUP(A591,#REF!,#REF!)</f>
        <v>#NAME?</v>
      </c>
    </row>
    <row r="592" spans="2:2" ht="13" x14ac:dyDescent="0.15">
      <c r="B592" s="8" t="e">
        <f t="array" aca="1" ref="B592" ca="1">XLOOKUP(A592,#REF!,#REF!)</f>
        <v>#NAME?</v>
      </c>
    </row>
    <row r="593" spans="2:2" ht="13" x14ac:dyDescent="0.15">
      <c r="B593" s="8" t="e">
        <f t="array" aca="1" ref="B593" ca="1">XLOOKUP(A593,#REF!,#REF!)</f>
        <v>#NAME?</v>
      </c>
    </row>
    <row r="594" spans="2:2" ht="13" x14ac:dyDescent="0.15">
      <c r="B594" s="8" t="e">
        <f t="array" aca="1" ref="B594" ca="1">XLOOKUP(A594,#REF!,#REF!)</f>
        <v>#NAME?</v>
      </c>
    </row>
    <row r="595" spans="2:2" ht="13" x14ac:dyDescent="0.15">
      <c r="B595" s="8" t="e">
        <f t="array" aca="1" ref="B595" ca="1">XLOOKUP(A595,#REF!,#REF!)</f>
        <v>#NAME?</v>
      </c>
    </row>
    <row r="596" spans="2:2" ht="13" x14ac:dyDescent="0.15">
      <c r="B596" s="8" t="e">
        <f t="array" aca="1" ref="B596" ca="1">XLOOKUP(A596,#REF!,#REF!)</f>
        <v>#NAME?</v>
      </c>
    </row>
    <row r="597" spans="2:2" ht="13" x14ac:dyDescent="0.15">
      <c r="B597" s="8" t="e">
        <f t="array" aca="1" ref="B597" ca="1">XLOOKUP(A597,#REF!,#REF!)</f>
        <v>#NAME?</v>
      </c>
    </row>
    <row r="598" spans="2:2" ht="13" x14ac:dyDescent="0.15">
      <c r="B598" s="8" t="e">
        <f t="array" aca="1" ref="B598" ca="1">XLOOKUP(A598,#REF!,#REF!)</f>
        <v>#NAME?</v>
      </c>
    </row>
    <row r="599" spans="2:2" ht="13" x14ac:dyDescent="0.15">
      <c r="B599" s="8" t="e">
        <f t="array" aca="1" ref="B599" ca="1">XLOOKUP(A599,#REF!,#REF!)</f>
        <v>#NAME?</v>
      </c>
    </row>
    <row r="600" spans="2:2" ht="13" x14ac:dyDescent="0.15">
      <c r="B600" s="8" t="e">
        <f t="array" aca="1" ref="B600" ca="1">XLOOKUP(A600,#REF!,#REF!)</f>
        <v>#NAME?</v>
      </c>
    </row>
    <row r="601" spans="2:2" ht="13" x14ac:dyDescent="0.15">
      <c r="B601" s="8" t="e">
        <f t="array" aca="1" ref="B601" ca="1">XLOOKUP(A601,#REF!,#REF!)</f>
        <v>#NAME?</v>
      </c>
    </row>
    <row r="602" spans="2:2" ht="13" x14ac:dyDescent="0.15">
      <c r="B602" s="8" t="e">
        <f t="array" aca="1" ref="B602" ca="1">XLOOKUP(A602,#REF!,#REF!)</f>
        <v>#NAME?</v>
      </c>
    </row>
    <row r="603" spans="2:2" ht="13" x14ac:dyDescent="0.15">
      <c r="B603" s="8" t="e">
        <f t="array" aca="1" ref="B603" ca="1">XLOOKUP(A603,#REF!,#REF!)</f>
        <v>#NAME?</v>
      </c>
    </row>
    <row r="604" spans="2:2" ht="13" x14ac:dyDescent="0.15">
      <c r="B604" s="8" t="e">
        <f t="array" aca="1" ref="B604" ca="1">XLOOKUP(A604,#REF!,#REF!)</f>
        <v>#NAME?</v>
      </c>
    </row>
    <row r="605" spans="2:2" ht="13" x14ac:dyDescent="0.15">
      <c r="B605" s="8" t="e">
        <f t="array" aca="1" ref="B605" ca="1">XLOOKUP(A605,#REF!,#REF!)</f>
        <v>#NAME?</v>
      </c>
    </row>
    <row r="606" spans="2:2" ht="13" x14ac:dyDescent="0.15">
      <c r="B606" s="8" t="e">
        <f t="array" aca="1" ref="B606" ca="1">XLOOKUP(A606,#REF!,#REF!)</f>
        <v>#NAME?</v>
      </c>
    </row>
    <row r="607" spans="2:2" ht="13" x14ac:dyDescent="0.15">
      <c r="B607" s="8" t="e">
        <f t="array" aca="1" ref="B607" ca="1">XLOOKUP(A607,#REF!,#REF!)</f>
        <v>#NAME?</v>
      </c>
    </row>
    <row r="608" spans="2:2" ht="13" x14ac:dyDescent="0.15">
      <c r="B608" s="8" t="e">
        <f t="array" aca="1" ref="B608" ca="1">XLOOKUP(A608,#REF!,#REF!)</f>
        <v>#NAME?</v>
      </c>
    </row>
    <row r="609" spans="2:2" ht="13" x14ac:dyDescent="0.15">
      <c r="B609" s="8" t="e">
        <f t="array" aca="1" ref="B609" ca="1">XLOOKUP(A609,#REF!,#REF!)</f>
        <v>#NAME?</v>
      </c>
    </row>
    <row r="610" spans="2:2" ht="13" x14ac:dyDescent="0.15">
      <c r="B610" s="8" t="e">
        <f t="array" aca="1" ref="B610" ca="1">XLOOKUP(A610,#REF!,#REF!)</f>
        <v>#NAME?</v>
      </c>
    </row>
    <row r="611" spans="2:2" ht="13" x14ac:dyDescent="0.15">
      <c r="B611" s="8" t="e">
        <f t="array" aca="1" ref="B611" ca="1">XLOOKUP(A611,#REF!,#REF!)</f>
        <v>#NAME?</v>
      </c>
    </row>
    <row r="612" spans="2:2" ht="13" x14ac:dyDescent="0.15">
      <c r="B612" s="8" t="e">
        <f t="array" aca="1" ref="B612" ca="1">XLOOKUP(A612,#REF!,#REF!)</f>
        <v>#NAME?</v>
      </c>
    </row>
    <row r="613" spans="2:2" ht="13" x14ac:dyDescent="0.15">
      <c r="B613" s="8" t="e">
        <f t="array" aca="1" ref="B613" ca="1">XLOOKUP(A613,#REF!,#REF!)</f>
        <v>#NAME?</v>
      </c>
    </row>
    <row r="614" spans="2:2" ht="13" x14ac:dyDescent="0.15">
      <c r="B614" s="8" t="e">
        <f t="array" aca="1" ref="B614" ca="1">XLOOKUP(A614,#REF!,#REF!)</f>
        <v>#NAME?</v>
      </c>
    </row>
    <row r="615" spans="2:2" ht="13" x14ac:dyDescent="0.15">
      <c r="B615" s="8" t="e">
        <f t="array" aca="1" ref="B615" ca="1">XLOOKUP(A615,#REF!,#REF!)</f>
        <v>#NAME?</v>
      </c>
    </row>
    <row r="616" spans="2:2" ht="13" x14ac:dyDescent="0.15">
      <c r="B616" s="8" t="e">
        <f t="array" aca="1" ref="B616" ca="1">XLOOKUP(A616,#REF!,#REF!)</f>
        <v>#NAME?</v>
      </c>
    </row>
    <row r="617" spans="2:2" ht="13" x14ac:dyDescent="0.15">
      <c r="B617" s="8" t="e">
        <f t="array" aca="1" ref="B617" ca="1">XLOOKUP(A617,#REF!,#REF!)</f>
        <v>#NAME?</v>
      </c>
    </row>
    <row r="618" spans="2:2" ht="13" x14ac:dyDescent="0.15">
      <c r="B618" s="8" t="e">
        <f t="array" aca="1" ref="B618" ca="1">XLOOKUP(A618,#REF!,#REF!)</f>
        <v>#NAME?</v>
      </c>
    </row>
    <row r="619" spans="2:2" ht="13" x14ac:dyDescent="0.15">
      <c r="B619" s="8" t="e">
        <f t="array" aca="1" ref="B619" ca="1">XLOOKUP(A619,#REF!,#REF!)</f>
        <v>#NAME?</v>
      </c>
    </row>
    <row r="620" spans="2:2" ht="13" x14ac:dyDescent="0.15">
      <c r="B620" s="8" t="e">
        <f t="array" aca="1" ref="B620" ca="1">XLOOKUP(A620,#REF!,#REF!)</f>
        <v>#NAME?</v>
      </c>
    </row>
    <row r="621" spans="2:2" ht="13" x14ac:dyDescent="0.15">
      <c r="B621" s="8" t="e">
        <f t="array" aca="1" ref="B621" ca="1">XLOOKUP(A621,#REF!,#REF!)</f>
        <v>#NAME?</v>
      </c>
    </row>
    <row r="622" spans="2:2" ht="13" x14ac:dyDescent="0.15">
      <c r="B622" s="8" t="e">
        <f t="array" aca="1" ref="B622" ca="1">XLOOKUP(A622,#REF!,#REF!)</f>
        <v>#NAME?</v>
      </c>
    </row>
    <row r="623" spans="2:2" ht="13" x14ac:dyDescent="0.15">
      <c r="B623" s="8" t="e">
        <f t="array" aca="1" ref="B623" ca="1">XLOOKUP(A623,#REF!,#REF!)</f>
        <v>#NAME?</v>
      </c>
    </row>
    <row r="624" spans="2:2" ht="13" x14ac:dyDescent="0.15">
      <c r="B624" s="8" t="e">
        <f t="array" aca="1" ref="B624" ca="1">XLOOKUP(A624,#REF!,#REF!)</f>
        <v>#NAME?</v>
      </c>
    </row>
    <row r="625" spans="2:2" ht="13" x14ac:dyDescent="0.15">
      <c r="B625" s="8" t="e">
        <f t="array" aca="1" ref="B625" ca="1">XLOOKUP(A625,#REF!,#REF!)</f>
        <v>#NAME?</v>
      </c>
    </row>
    <row r="626" spans="2:2" ht="13" x14ac:dyDescent="0.15">
      <c r="B626" s="8" t="e">
        <f t="array" aca="1" ref="B626" ca="1">XLOOKUP(A626,#REF!,#REF!)</f>
        <v>#NAME?</v>
      </c>
    </row>
    <row r="627" spans="2:2" ht="13" x14ac:dyDescent="0.15">
      <c r="B627" s="8" t="e">
        <f t="array" aca="1" ref="B627" ca="1">XLOOKUP(A627,#REF!,#REF!)</f>
        <v>#NAME?</v>
      </c>
    </row>
    <row r="628" spans="2:2" ht="13" x14ac:dyDescent="0.15">
      <c r="B628" s="8" t="e">
        <f t="array" aca="1" ref="B628" ca="1">XLOOKUP(A628,#REF!,#REF!)</f>
        <v>#NAME?</v>
      </c>
    </row>
    <row r="629" spans="2:2" ht="13" x14ac:dyDescent="0.15">
      <c r="B629" s="8" t="e">
        <f t="array" aca="1" ref="B629" ca="1">XLOOKUP(A629,#REF!,#REF!)</f>
        <v>#NAME?</v>
      </c>
    </row>
    <row r="630" spans="2:2" ht="13" x14ac:dyDescent="0.15">
      <c r="B630" s="8" t="e">
        <f t="array" aca="1" ref="B630" ca="1">XLOOKUP(A630,#REF!,#REF!)</f>
        <v>#NAME?</v>
      </c>
    </row>
    <row r="631" spans="2:2" ht="13" x14ac:dyDescent="0.15">
      <c r="B631" s="8" t="e">
        <f t="array" aca="1" ref="B631" ca="1">XLOOKUP(A631,#REF!,#REF!)</f>
        <v>#NAME?</v>
      </c>
    </row>
    <row r="632" spans="2:2" ht="13" x14ac:dyDescent="0.15">
      <c r="B632" s="8" t="e">
        <f t="array" aca="1" ref="B632" ca="1">XLOOKUP(A632,#REF!,#REF!)</f>
        <v>#NAME?</v>
      </c>
    </row>
    <row r="633" spans="2:2" ht="13" x14ac:dyDescent="0.15">
      <c r="B633" s="8" t="e">
        <f t="array" aca="1" ref="B633" ca="1">XLOOKUP(A633,#REF!,#REF!)</f>
        <v>#NAME?</v>
      </c>
    </row>
    <row r="634" spans="2:2" ht="13" x14ac:dyDescent="0.15">
      <c r="B634" s="8" t="e">
        <f t="array" aca="1" ref="B634" ca="1">XLOOKUP(A634,#REF!,#REF!)</f>
        <v>#NAME?</v>
      </c>
    </row>
    <row r="635" spans="2:2" ht="13" x14ac:dyDescent="0.15">
      <c r="B635" s="8" t="e">
        <f t="array" aca="1" ref="B635" ca="1">XLOOKUP(A635,#REF!,#REF!)</f>
        <v>#NAME?</v>
      </c>
    </row>
    <row r="636" spans="2:2" ht="13" x14ac:dyDescent="0.15">
      <c r="B636" s="8" t="e">
        <f t="array" aca="1" ref="B636" ca="1">XLOOKUP(A636,#REF!,#REF!)</f>
        <v>#NAME?</v>
      </c>
    </row>
    <row r="637" spans="2:2" ht="13" x14ac:dyDescent="0.15">
      <c r="B637" s="8" t="e">
        <f t="array" aca="1" ref="B637" ca="1">XLOOKUP(A637,#REF!,#REF!)</f>
        <v>#NAME?</v>
      </c>
    </row>
    <row r="638" spans="2:2" ht="13" x14ac:dyDescent="0.15">
      <c r="B638" s="8" t="e">
        <f t="array" aca="1" ref="B638" ca="1">XLOOKUP(A638,#REF!,#REF!)</f>
        <v>#NAME?</v>
      </c>
    </row>
    <row r="639" spans="2:2" ht="13" x14ac:dyDescent="0.15">
      <c r="B639" s="8" t="e">
        <f t="array" aca="1" ref="B639" ca="1">XLOOKUP(A639,#REF!,#REF!)</f>
        <v>#NAME?</v>
      </c>
    </row>
    <row r="640" spans="2:2" ht="13" x14ac:dyDescent="0.15">
      <c r="B640" s="8" t="e">
        <f t="array" aca="1" ref="B640" ca="1">XLOOKUP(A640,#REF!,#REF!)</f>
        <v>#NAME?</v>
      </c>
    </row>
    <row r="641" spans="2:2" ht="13" x14ac:dyDescent="0.15">
      <c r="B641" s="8" t="e">
        <f t="array" aca="1" ref="B641" ca="1">XLOOKUP(A641,#REF!,#REF!)</f>
        <v>#NAME?</v>
      </c>
    </row>
    <row r="642" spans="2:2" ht="13" x14ac:dyDescent="0.15">
      <c r="B642" s="8" t="e">
        <f t="array" aca="1" ref="B642" ca="1">XLOOKUP(A642,#REF!,#REF!)</f>
        <v>#NAME?</v>
      </c>
    </row>
    <row r="643" spans="2:2" ht="13" x14ac:dyDescent="0.15">
      <c r="B643" s="8" t="e">
        <f t="array" aca="1" ref="B643" ca="1">XLOOKUP(A643,#REF!,#REF!)</f>
        <v>#NAME?</v>
      </c>
    </row>
    <row r="644" spans="2:2" ht="13" x14ac:dyDescent="0.15">
      <c r="B644" s="8" t="e">
        <f t="array" aca="1" ref="B644" ca="1">XLOOKUP(A644,#REF!,#REF!)</f>
        <v>#NAME?</v>
      </c>
    </row>
    <row r="645" spans="2:2" ht="13" x14ac:dyDescent="0.15">
      <c r="B645" s="8" t="e">
        <f t="array" aca="1" ref="B645" ca="1">XLOOKUP(A645,#REF!,#REF!)</f>
        <v>#NAME?</v>
      </c>
    </row>
    <row r="646" spans="2:2" ht="13" x14ac:dyDescent="0.15">
      <c r="B646" s="8" t="e">
        <f t="array" aca="1" ref="B646" ca="1">XLOOKUP(A646,#REF!,#REF!)</f>
        <v>#NAME?</v>
      </c>
    </row>
    <row r="647" spans="2:2" ht="13" x14ac:dyDescent="0.15">
      <c r="B647" s="8" t="e">
        <f t="array" aca="1" ref="B647" ca="1">XLOOKUP(A647,#REF!,#REF!)</f>
        <v>#NAME?</v>
      </c>
    </row>
    <row r="648" spans="2:2" ht="13" x14ac:dyDescent="0.15">
      <c r="B648" s="8" t="e">
        <f t="array" aca="1" ref="B648" ca="1">XLOOKUP(A648,#REF!,#REF!)</f>
        <v>#NAME?</v>
      </c>
    </row>
    <row r="649" spans="2:2" ht="13" x14ac:dyDescent="0.15">
      <c r="B649" s="8" t="e">
        <f t="array" aca="1" ref="B649" ca="1">XLOOKUP(A649,#REF!,#REF!)</f>
        <v>#NAME?</v>
      </c>
    </row>
    <row r="650" spans="2:2" ht="13" x14ac:dyDescent="0.15">
      <c r="B650" s="8" t="e">
        <f t="array" aca="1" ref="B650" ca="1">XLOOKUP(A650,#REF!,#REF!)</f>
        <v>#NAME?</v>
      </c>
    </row>
    <row r="651" spans="2:2" ht="13" x14ac:dyDescent="0.15">
      <c r="B651" s="8" t="e">
        <f t="array" aca="1" ref="B651" ca="1">XLOOKUP(A651,#REF!,#REF!)</f>
        <v>#NAME?</v>
      </c>
    </row>
    <row r="652" spans="2:2" ht="13" x14ac:dyDescent="0.15">
      <c r="B652" s="8" t="e">
        <f t="array" aca="1" ref="B652" ca="1">XLOOKUP(A652,#REF!,#REF!)</f>
        <v>#NAME?</v>
      </c>
    </row>
    <row r="653" spans="2:2" ht="13" x14ac:dyDescent="0.15">
      <c r="B653" s="8" t="e">
        <f t="array" aca="1" ref="B653" ca="1">XLOOKUP(A653,#REF!,#REF!)</f>
        <v>#NAME?</v>
      </c>
    </row>
    <row r="654" spans="2:2" ht="13" x14ac:dyDescent="0.15">
      <c r="B654" s="8" t="e">
        <f t="array" aca="1" ref="B654" ca="1">XLOOKUP(A654,#REF!,#REF!)</f>
        <v>#NAME?</v>
      </c>
    </row>
    <row r="655" spans="2:2" ht="13" x14ac:dyDescent="0.15">
      <c r="B655" s="8" t="e">
        <f t="array" aca="1" ref="B655" ca="1">XLOOKUP(A655,#REF!,#REF!)</f>
        <v>#NAME?</v>
      </c>
    </row>
    <row r="656" spans="2:2" ht="13" x14ac:dyDescent="0.15">
      <c r="B656" s="8" t="e">
        <f t="array" aca="1" ref="B656" ca="1">XLOOKUP(A656,#REF!,#REF!)</f>
        <v>#NAME?</v>
      </c>
    </row>
    <row r="657" spans="2:2" ht="13" x14ac:dyDescent="0.15">
      <c r="B657" s="8" t="e">
        <f t="array" aca="1" ref="B657" ca="1">XLOOKUP(A657,#REF!,#REF!)</f>
        <v>#NAME?</v>
      </c>
    </row>
    <row r="658" spans="2:2" ht="13" x14ac:dyDescent="0.15">
      <c r="B658" s="8" t="e">
        <f t="array" aca="1" ref="B658" ca="1">XLOOKUP(A658,#REF!,#REF!)</f>
        <v>#NAME?</v>
      </c>
    </row>
    <row r="659" spans="2:2" ht="13" x14ac:dyDescent="0.15">
      <c r="B659" s="8" t="e">
        <f t="array" aca="1" ref="B659" ca="1">XLOOKUP(A659,#REF!,#REF!)</f>
        <v>#NAME?</v>
      </c>
    </row>
    <row r="660" spans="2:2" ht="13" x14ac:dyDescent="0.15">
      <c r="B660" s="8" t="e">
        <f t="array" aca="1" ref="B660" ca="1">XLOOKUP(A660,#REF!,#REF!)</f>
        <v>#NAME?</v>
      </c>
    </row>
    <row r="661" spans="2:2" ht="13" x14ac:dyDescent="0.15">
      <c r="B661" s="8" t="e">
        <f t="array" aca="1" ref="B661" ca="1">XLOOKUP(A661,#REF!,#REF!)</f>
        <v>#NAME?</v>
      </c>
    </row>
    <row r="662" spans="2:2" ht="13" x14ac:dyDescent="0.15">
      <c r="B662" s="8" t="e">
        <f t="array" aca="1" ref="B662" ca="1">XLOOKUP(A662,#REF!,#REF!)</f>
        <v>#NAME?</v>
      </c>
    </row>
    <row r="663" spans="2:2" ht="13" x14ac:dyDescent="0.15">
      <c r="B663" s="8" t="e">
        <f t="array" aca="1" ref="B663" ca="1">XLOOKUP(A663,#REF!,#REF!)</f>
        <v>#NAME?</v>
      </c>
    </row>
    <row r="664" spans="2:2" ht="13" x14ac:dyDescent="0.15">
      <c r="B664" s="8" t="e">
        <f t="array" aca="1" ref="B664" ca="1">XLOOKUP(A664,#REF!,#REF!)</f>
        <v>#NAME?</v>
      </c>
    </row>
    <row r="665" spans="2:2" ht="13" x14ac:dyDescent="0.15">
      <c r="B665" s="8" t="e">
        <f t="array" aca="1" ref="B665" ca="1">XLOOKUP(A665,#REF!,#REF!)</f>
        <v>#NAME?</v>
      </c>
    </row>
    <row r="666" spans="2:2" ht="13" x14ac:dyDescent="0.15">
      <c r="B666" s="8" t="e">
        <f t="array" aca="1" ref="B666" ca="1">XLOOKUP(A666,#REF!,#REF!)</f>
        <v>#NAME?</v>
      </c>
    </row>
    <row r="667" spans="2:2" ht="13" x14ac:dyDescent="0.15">
      <c r="B667" s="8" t="e">
        <f t="array" aca="1" ref="B667" ca="1">XLOOKUP(A667,#REF!,#REF!)</f>
        <v>#NAME?</v>
      </c>
    </row>
    <row r="668" spans="2:2" ht="13" x14ac:dyDescent="0.15">
      <c r="B668" s="8" t="e">
        <f t="array" aca="1" ref="B668" ca="1">XLOOKUP(A668,#REF!,#REF!)</f>
        <v>#NAME?</v>
      </c>
    </row>
    <row r="669" spans="2:2" ht="13" x14ac:dyDescent="0.15">
      <c r="B669" s="8" t="e">
        <f t="array" aca="1" ref="B669" ca="1">XLOOKUP(A669,#REF!,#REF!)</f>
        <v>#NAME?</v>
      </c>
    </row>
    <row r="670" spans="2:2" ht="13" x14ac:dyDescent="0.15">
      <c r="B670" s="8" t="e">
        <f t="array" aca="1" ref="B670" ca="1">XLOOKUP(A670,#REF!,#REF!)</f>
        <v>#NAME?</v>
      </c>
    </row>
    <row r="671" spans="2:2" ht="13" x14ac:dyDescent="0.15">
      <c r="B671" s="8" t="e">
        <f t="array" aca="1" ref="B671" ca="1">XLOOKUP(A671,#REF!,#REF!)</f>
        <v>#NAME?</v>
      </c>
    </row>
    <row r="672" spans="2:2" ht="13" x14ac:dyDescent="0.15">
      <c r="B672" s="8" t="e">
        <f t="array" aca="1" ref="B672" ca="1">XLOOKUP(A672,#REF!,#REF!)</f>
        <v>#NAME?</v>
      </c>
    </row>
    <row r="673" spans="2:2" ht="13" x14ac:dyDescent="0.15">
      <c r="B673" s="8" t="e">
        <f t="array" aca="1" ref="B673" ca="1">XLOOKUP(A673,#REF!,#REF!)</f>
        <v>#NAME?</v>
      </c>
    </row>
    <row r="674" spans="2:2" ht="13" x14ac:dyDescent="0.15">
      <c r="B674" s="8" t="e">
        <f t="array" aca="1" ref="B674" ca="1">XLOOKUP(A674,#REF!,#REF!)</f>
        <v>#NAME?</v>
      </c>
    </row>
    <row r="675" spans="2:2" ht="13" x14ac:dyDescent="0.15">
      <c r="B675" s="8" t="e">
        <f t="array" aca="1" ref="B675" ca="1">XLOOKUP(A675,#REF!,#REF!)</f>
        <v>#NAME?</v>
      </c>
    </row>
    <row r="676" spans="2:2" ht="13" x14ac:dyDescent="0.15">
      <c r="B676" s="8" t="e">
        <f t="array" aca="1" ref="B676" ca="1">XLOOKUP(A676,#REF!,#REF!)</f>
        <v>#NAME?</v>
      </c>
    </row>
    <row r="677" spans="2:2" ht="13" x14ac:dyDescent="0.15">
      <c r="B677" s="8" t="e">
        <f t="array" aca="1" ref="B677" ca="1">XLOOKUP(A677,#REF!,#REF!)</f>
        <v>#NAME?</v>
      </c>
    </row>
    <row r="678" spans="2:2" ht="13" x14ac:dyDescent="0.15">
      <c r="B678" s="8" t="e">
        <f t="array" aca="1" ref="B678" ca="1">XLOOKUP(A678,#REF!,#REF!)</f>
        <v>#NAME?</v>
      </c>
    </row>
    <row r="679" spans="2:2" ht="13" x14ac:dyDescent="0.15">
      <c r="B679" s="8" t="e">
        <f t="array" aca="1" ref="B679" ca="1">XLOOKUP(A679,#REF!,#REF!)</f>
        <v>#NAME?</v>
      </c>
    </row>
    <row r="680" spans="2:2" ht="13" x14ac:dyDescent="0.15">
      <c r="B680" s="8" t="e">
        <f t="array" aca="1" ref="B680" ca="1">XLOOKUP(A680,#REF!,#REF!)</f>
        <v>#NAME?</v>
      </c>
    </row>
    <row r="681" spans="2:2" ht="13" x14ac:dyDescent="0.15">
      <c r="B681" s="8" t="e">
        <f t="array" aca="1" ref="B681" ca="1">XLOOKUP(A681,#REF!,#REF!)</f>
        <v>#NAME?</v>
      </c>
    </row>
    <row r="682" spans="2:2" ht="13" x14ac:dyDescent="0.15">
      <c r="B682" s="8" t="e">
        <f t="array" aca="1" ref="B682" ca="1">XLOOKUP(A682,#REF!,#REF!)</f>
        <v>#NAME?</v>
      </c>
    </row>
    <row r="683" spans="2:2" ht="13" x14ac:dyDescent="0.15">
      <c r="B683" s="8" t="e">
        <f t="array" aca="1" ref="B683" ca="1">XLOOKUP(A683,#REF!,#REF!)</f>
        <v>#NAME?</v>
      </c>
    </row>
    <row r="684" spans="2:2" ht="13" x14ac:dyDescent="0.15">
      <c r="B684" s="8" t="e">
        <f t="array" aca="1" ref="B684" ca="1">XLOOKUP(A684,#REF!,#REF!)</f>
        <v>#NAME?</v>
      </c>
    </row>
    <row r="685" spans="2:2" ht="13" x14ac:dyDescent="0.15">
      <c r="B685" s="8" t="e">
        <f t="array" aca="1" ref="B685" ca="1">XLOOKUP(A685,#REF!,#REF!)</f>
        <v>#NAME?</v>
      </c>
    </row>
    <row r="686" spans="2:2" ht="13" x14ac:dyDescent="0.15">
      <c r="B686" s="8" t="e">
        <f t="array" aca="1" ref="B686" ca="1">XLOOKUP(A686,#REF!,#REF!)</f>
        <v>#NAME?</v>
      </c>
    </row>
    <row r="687" spans="2:2" ht="13" x14ac:dyDescent="0.15">
      <c r="B687" s="8" t="e">
        <f t="array" aca="1" ref="B687" ca="1">XLOOKUP(A687,#REF!,#REF!)</f>
        <v>#NAME?</v>
      </c>
    </row>
    <row r="688" spans="2:2" ht="13" x14ac:dyDescent="0.15">
      <c r="B688" s="8" t="e">
        <f t="array" aca="1" ref="B688" ca="1">XLOOKUP(A688,#REF!,#REF!)</f>
        <v>#NAME?</v>
      </c>
    </row>
    <row r="689" spans="2:2" ht="13" x14ac:dyDescent="0.15">
      <c r="B689" s="8" t="e">
        <f t="array" aca="1" ref="B689" ca="1">XLOOKUP(A689,#REF!,#REF!)</f>
        <v>#NAME?</v>
      </c>
    </row>
    <row r="690" spans="2:2" ht="13" x14ac:dyDescent="0.15">
      <c r="B690" s="8" t="e">
        <f t="array" aca="1" ref="B690" ca="1">XLOOKUP(A690,#REF!,#REF!)</f>
        <v>#NAME?</v>
      </c>
    </row>
    <row r="691" spans="2:2" ht="13" x14ac:dyDescent="0.15">
      <c r="B691" s="8" t="e">
        <f t="array" aca="1" ref="B691" ca="1">XLOOKUP(A691,#REF!,#REF!)</f>
        <v>#NAME?</v>
      </c>
    </row>
    <row r="692" spans="2:2" ht="13" x14ac:dyDescent="0.15">
      <c r="B692" s="8" t="e">
        <f t="array" aca="1" ref="B692" ca="1">XLOOKUP(A692,#REF!,#REF!)</f>
        <v>#NAME?</v>
      </c>
    </row>
    <row r="693" spans="2:2" ht="13" x14ac:dyDescent="0.15">
      <c r="B693" s="8" t="e">
        <f t="array" aca="1" ref="B693" ca="1">XLOOKUP(A693,#REF!,#REF!)</f>
        <v>#NAME?</v>
      </c>
    </row>
    <row r="694" spans="2:2" ht="13" x14ac:dyDescent="0.15">
      <c r="B694" s="8" t="e">
        <f t="array" aca="1" ref="B694" ca="1">XLOOKUP(A694,#REF!,#REF!)</f>
        <v>#NAME?</v>
      </c>
    </row>
    <row r="695" spans="2:2" ht="13" x14ac:dyDescent="0.15">
      <c r="B695" s="8" t="e">
        <f t="array" aca="1" ref="B695" ca="1">XLOOKUP(A695,#REF!,#REF!)</f>
        <v>#NAME?</v>
      </c>
    </row>
    <row r="696" spans="2:2" ht="13" x14ac:dyDescent="0.15">
      <c r="B696" s="8" t="e">
        <f t="array" aca="1" ref="B696" ca="1">XLOOKUP(A696,#REF!,#REF!)</f>
        <v>#NAME?</v>
      </c>
    </row>
    <row r="697" spans="2:2" ht="13" x14ac:dyDescent="0.15">
      <c r="B697" s="8" t="e">
        <f t="array" aca="1" ref="B697" ca="1">XLOOKUP(A697,#REF!,#REF!)</f>
        <v>#NAME?</v>
      </c>
    </row>
    <row r="698" spans="2:2" ht="13" x14ac:dyDescent="0.15">
      <c r="B698" s="8" t="e">
        <f t="array" aca="1" ref="B698" ca="1">XLOOKUP(A698,#REF!,#REF!)</f>
        <v>#NAME?</v>
      </c>
    </row>
    <row r="699" spans="2:2" ht="13" x14ac:dyDescent="0.15">
      <c r="B699" s="8" t="e">
        <f t="array" aca="1" ref="B699" ca="1">XLOOKUP(A699,#REF!,#REF!)</f>
        <v>#NAME?</v>
      </c>
    </row>
    <row r="700" spans="2:2" ht="13" x14ac:dyDescent="0.15">
      <c r="B700" s="8" t="e">
        <f t="array" aca="1" ref="B700" ca="1">XLOOKUP(A700,#REF!,#REF!)</f>
        <v>#NAME?</v>
      </c>
    </row>
    <row r="701" spans="2:2" ht="13" x14ac:dyDescent="0.15">
      <c r="B701" s="8" t="e">
        <f t="array" aca="1" ref="B701" ca="1">XLOOKUP(A701,#REF!,#REF!)</f>
        <v>#NAME?</v>
      </c>
    </row>
    <row r="702" spans="2:2" ht="13" x14ac:dyDescent="0.15">
      <c r="B702" s="8" t="e">
        <f t="array" aca="1" ref="B702" ca="1">XLOOKUP(A702,#REF!,#REF!)</f>
        <v>#NAME?</v>
      </c>
    </row>
    <row r="703" spans="2:2" ht="13" x14ac:dyDescent="0.15">
      <c r="B703" s="8" t="e">
        <f t="array" aca="1" ref="B703" ca="1">XLOOKUP(A703,#REF!,#REF!)</f>
        <v>#NAME?</v>
      </c>
    </row>
    <row r="704" spans="2:2" ht="13" x14ac:dyDescent="0.15">
      <c r="B704" s="8" t="e">
        <f t="array" aca="1" ref="B704" ca="1">XLOOKUP(A704,#REF!,#REF!)</f>
        <v>#NAME?</v>
      </c>
    </row>
    <row r="705" spans="2:2" ht="13" x14ac:dyDescent="0.15">
      <c r="B705" s="8" t="e">
        <f t="array" aca="1" ref="B705" ca="1">XLOOKUP(A705,#REF!,#REF!)</f>
        <v>#NAME?</v>
      </c>
    </row>
    <row r="706" spans="2:2" ht="13" x14ac:dyDescent="0.15">
      <c r="B706" s="8" t="e">
        <f t="array" aca="1" ref="B706" ca="1">XLOOKUP(A706,#REF!,#REF!)</f>
        <v>#NAME?</v>
      </c>
    </row>
    <row r="707" spans="2:2" ht="13" x14ac:dyDescent="0.15">
      <c r="B707" s="8" t="e">
        <f t="array" aca="1" ref="B707" ca="1">XLOOKUP(A707,#REF!,#REF!)</f>
        <v>#NAME?</v>
      </c>
    </row>
    <row r="708" spans="2:2" ht="13" x14ac:dyDescent="0.15">
      <c r="B708" s="8" t="e">
        <f t="array" aca="1" ref="B708" ca="1">XLOOKUP(A708,#REF!,#REF!)</f>
        <v>#NAME?</v>
      </c>
    </row>
    <row r="709" spans="2:2" ht="13" x14ac:dyDescent="0.15">
      <c r="B709" s="8" t="e">
        <f t="array" aca="1" ref="B709" ca="1">XLOOKUP(A709,#REF!,#REF!)</f>
        <v>#NAME?</v>
      </c>
    </row>
    <row r="710" spans="2:2" ht="13" x14ac:dyDescent="0.15">
      <c r="B710" s="8" t="e">
        <f t="array" aca="1" ref="B710" ca="1">XLOOKUP(A710,#REF!,#REF!)</f>
        <v>#NAME?</v>
      </c>
    </row>
    <row r="711" spans="2:2" ht="13" x14ac:dyDescent="0.15">
      <c r="B711" s="8" t="e">
        <f t="array" aca="1" ref="B711" ca="1">XLOOKUP(A711,#REF!,#REF!)</f>
        <v>#NAME?</v>
      </c>
    </row>
    <row r="712" spans="2:2" ht="13" x14ac:dyDescent="0.15">
      <c r="B712" s="8" t="e">
        <f t="array" aca="1" ref="B712" ca="1">XLOOKUP(A712,#REF!,#REF!)</f>
        <v>#NAME?</v>
      </c>
    </row>
    <row r="713" spans="2:2" ht="13" x14ac:dyDescent="0.15">
      <c r="B713" s="8" t="e">
        <f t="array" aca="1" ref="B713" ca="1">XLOOKUP(A713,#REF!,#REF!)</f>
        <v>#NAME?</v>
      </c>
    </row>
    <row r="714" spans="2:2" ht="13" x14ac:dyDescent="0.15">
      <c r="B714" s="8" t="e">
        <f t="array" aca="1" ref="B714" ca="1">XLOOKUP(A714,#REF!,#REF!)</f>
        <v>#NAME?</v>
      </c>
    </row>
    <row r="715" spans="2:2" ht="13" x14ac:dyDescent="0.15">
      <c r="B715" s="8" t="e">
        <f t="array" aca="1" ref="B715" ca="1">XLOOKUP(A715,#REF!,#REF!)</f>
        <v>#NAME?</v>
      </c>
    </row>
    <row r="716" spans="2:2" ht="13" x14ac:dyDescent="0.15">
      <c r="B716" s="8" t="e">
        <f t="array" aca="1" ref="B716" ca="1">XLOOKUP(A716,#REF!,#REF!)</f>
        <v>#NAME?</v>
      </c>
    </row>
    <row r="717" spans="2:2" ht="13" x14ac:dyDescent="0.15">
      <c r="B717" s="8" t="e">
        <f t="array" aca="1" ref="B717" ca="1">XLOOKUP(A717,#REF!,#REF!)</f>
        <v>#NAME?</v>
      </c>
    </row>
    <row r="718" spans="2:2" ht="13" x14ac:dyDescent="0.15">
      <c r="B718" s="8" t="e">
        <f t="array" aca="1" ref="B718" ca="1">XLOOKUP(A718,#REF!,#REF!)</f>
        <v>#NAME?</v>
      </c>
    </row>
    <row r="719" spans="2:2" ht="13" x14ac:dyDescent="0.15">
      <c r="B719" s="8" t="e">
        <f t="array" aca="1" ref="B719" ca="1">XLOOKUP(A719,#REF!,#REF!)</f>
        <v>#NAME?</v>
      </c>
    </row>
    <row r="720" spans="2:2" ht="13" x14ac:dyDescent="0.15">
      <c r="B720" s="8" t="e">
        <f t="array" aca="1" ref="B720" ca="1">XLOOKUP(A720,#REF!,#REF!)</f>
        <v>#NAME?</v>
      </c>
    </row>
    <row r="721" spans="2:2" ht="13" x14ac:dyDescent="0.15">
      <c r="B721" s="8" t="e">
        <f t="array" aca="1" ref="B721" ca="1">XLOOKUP(A721,#REF!,#REF!)</f>
        <v>#NAME?</v>
      </c>
    </row>
    <row r="722" spans="2:2" ht="13" x14ac:dyDescent="0.15">
      <c r="B722" s="8" t="e">
        <f t="array" aca="1" ref="B722" ca="1">XLOOKUP(A722,#REF!,#REF!)</f>
        <v>#NAME?</v>
      </c>
    </row>
    <row r="723" spans="2:2" ht="13" x14ac:dyDescent="0.15">
      <c r="B723" s="8" t="e">
        <f t="array" aca="1" ref="B723" ca="1">XLOOKUP(A723,#REF!,#REF!)</f>
        <v>#NAME?</v>
      </c>
    </row>
    <row r="724" spans="2:2" ht="13" x14ac:dyDescent="0.15">
      <c r="B724" s="8" t="e">
        <f t="array" aca="1" ref="B724" ca="1">XLOOKUP(A724,#REF!,#REF!)</f>
        <v>#NAME?</v>
      </c>
    </row>
    <row r="725" spans="2:2" ht="13" x14ac:dyDescent="0.15">
      <c r="B725" s="8" t="e">
        <f t="array" aca="1" ref="B725" ca="1">XLOOKUP(A725,#REF!,#REF!)</f>
        <v>#NAME?</v>
      </c>
    </row>
    <row r="726" spans="2:2" ht="13" x14ac:dyDescent="0.15">
      <c r="B726" s="8" t="e">
        <f t="array" aca="1" ref="B726" ca="1">XLOOKUP(A726,#REF!,#REF!)</f>
        <v>#NAME?</v>
      </c>
    </row>
    <row r="727" spans="2:2" ht="13" x14ac:dyDescent="0.15">
      <c r="B727" s="8" t="e">
        <f t="array" aca="1" ref="B727" ca="1">XLOOKUP(A727,#REF!,#REF!)</f>
        <v>#NAME?</v>
      </c>
    </row>
    <row r="728" spans="2:2" ht="13" x14ac:dyDescent="0.15">
      <c r="B728" s="8" t="e">
        <f t="array" aca="1" ref="B728" ca="1">XLOOKUP(A728,#REF!,#REF!)</f>
        <v>#NAME?</v>
      </c>
    </row>
    <row r="729" spans="2:2" ht="13" x14ac:dyDescent="0.15">
      <c r="B729" s="8" t="e">
        <f t="array" aca="1" ref="B729" ca="1">XLOOKUP(A729,#REF!,#REF!)</f>
        <v>#NAME?</v>
      </c>
    </row>
    <row r="730" spans="2:2" ht="13" x14ac:dyDescent="0.15">
      <c r="B730" s="8" t="e">
        <f t="array" aca="1" ref="B730" ca="1">XLOOKUP(A730,#REF!,#REF!)</f>
        <v>#NAME?</v>
      </c>
    </row>
    <row r="731" spans="2:2" ht="13" x14ac:dyDescent="0.15">
      <c r="B731" s="8" t="e">
        <f t="array" aca="1" ref="B731" ca="1">XLOOKUP(A731,#REF!,#REF!)</f>
        <v>#NAME?</v>
      </c>
    </row>
    <row r="732" spans="2:2" ht="13" x14ac:dyDescent="0.15">
      <c r="B732" s="8" t="e">
        <f t="array" aca="1" ref="B732" ca="1">XLOOKUP(A732,#REF!,#REF!)</f>
        <v>#NAME?</v>
      </c>
    </row>
    <row r="733" spans="2:2" ht="13" x14ac:dyDescent="0.15">
      <c r="B733" s="8" t="e">
        <f t="array" aca="1" ref="B733" ca="1">XLOOKUP(A733,#REF!,#REF!)</f>
        <v>#NAME?</v>
      </c>
    </row>
    <row r="734" spans="2:2" ht="13" x14ac:dyDescent="0.15">
      <c r="B734" s="8" t="e">
        <f t="array" aca="1" ref="B734" ca="1">XLOOKUP(A734,#REF!,#REF!)</f>
        <v>#NAME?</v>
      </c>
    </row>
    <row r="735" spans="2:2" ht="13" x14ac:dyDescent="0.15">
      <c r="B735" s="8" t="e">
        <f t="array" aca="1" ref="B735" ca="1">XLOOKUP(A735,#REF!,#REF!)</f>
        <v>#NAME?</v>
      </c>
    </row>
    <row r="736" spans="2:2" ht="13" x14ac:dyDescent="0.15">
      <c r="B736" s="8" t="e">
        <f t="array" aca="1" ref="B736" ca="1">XLOOKUP(A736,#REF!,#REF!)</f>
        <v>#NAME?</v>
      </c>
    </row>
    <row r="737" spans="2:2" ht="13" x14ac:dyDescent="0.15">
      <c r="B737" s="8" t="e">
        <f t="array" aca="1" ref="B737" ca="1">XLOOKUP(A737,#REF!,#REF!)</f>
        <v>#NAME?</v>
      </c>
    </row>
    <row r="738" spans="2:2" ht="13" x14ac:dyDescent="0.15">
      <c r="B738" s="8" t="e">
        <f t="array" aca="1" ref="B738" ca="1">XLOOKUP(A738,#REF!,#REF!)</f>
        <v>#NAME?</v>
      </c>
    </row>
    <row r="739" spans="2:2" ht="13" x14ac:dyDescent="0.15">
      <c r="B739" s="8" t="e">
        <f t="array" aca="1" ref="B739" ca="1">XLOOKUP(A739,#REF!,#REF!)</f>
        <v>#NAME?</v>
      </c>
    </row>
    <row r="740" spans="2:2" ht="13" x14ac:dyDescent="0.15">
      <c r="B740" s="8" t="e">
        <f t="array" aca="1" ref="B740" ca="1">XLOOKUP(A740,#REF!,#REF!)</f>
        <v>#NAME?</v>
      </c>
    </row>
    <row r="741" spans="2:2" ht="13" x14ac:dyDescent="0.15">
      <c r="B741" s="8" t="e">
        <f t="array" aca="1" ref="B741" ca="1">XLOOKUP(A741,#REF!,#REF!)</f>
        <v>#NAME?</v>
      </c>
    </row>
    <row r="742" spans="2:2" ht="13" x14ac:dyDescent="0.15">
      <c r="B742" s="8" t="e">
        <f t="array" aca="1" ref="B742" ca="1">XLOOKUP(A742,#REF!,#REF!)</f>
        <v>#NAME?</v>
      </c>
    </row>
    <row r="743" spans="2:2" ht="13" x14ac:dyDescent="0.15">
      <c r="B743" s="8" t="e">
        <f t="array" aca="1" ref="B743" ca="1">XLOOKUP(A743,#REF!,#REF!)</f>
        <v>#NAME?</v>
      </c>
    </row>
    <row r="744" spans="2:2" ht="13" x14ac:dyDescent="0.15">
      <c r="B744" s="8" t="e">
        <f t="array" aca="1" ref="B744" ca="1">XLOOKUP(A744,#REF!,#REF!)</f>
        <v>#NAME?</v>
      </c>
    </row>
    <row r="745" spans="2:2" ht="13" x14ac:dyDescent="0.15">
      <c r="B745" s="8" t="e">
        <f t="array" aca="1" ref="B745" ca="1">XLOOKUP(A745,#REF!,#REF!)</f>
        <v>#NAME?</v>
      </c>
    </row>
    <row r="746" spans="2:2" ht="13" x14ac:dyDescent="0.15">
      <c r="B746" s="8" t="e">
        <f t="array" aca="1" ref="B746" ca="1">XLOOKUP(A746,#REF!,#REF!)</f>
        <v>#NAME?</v>
      </c>
    </row>
    <row r="747" spans="2:2" ht="13" x14ac:dyDescent="0.15">
      <c r="B747" s="8" t="e">
        <f t="array" aca="1" ref="B747" ca="1">XLOOKUP(A747,#REF!,#REF!)</f>
        <v>#NAME?</v>
      </c>
    </row>
    <row r="748" spans="2:2" ht="13" x14ac:dyDescent="0.15">
      <c r="B748" s="8" t="e">
        <f t="array" aca="1" ref="B748" ca="1">XLOOKUP(A748,#REF!,#REF!)</f>
        <v>#NAME?</v>
      </c>
    </row>
    <row r="749" spans="2:2" ht="13" x14ac:dyDescent="0.15">
      <c r="B749" s="8" t="e">
        <f t="array" aca="1" ref="B749" ca="1">XLOOKUP(A749,#REF!,#REF!)</f>
        <v>#NAME?</v>
      </c>
    </row>
    <row r="750" spans="2:2" ht="13" x14ac:dyDescent="0.15">
      <c r="B750" s="8" t="e">
        <f t="array" aca="1" ref="B750" ca="1">XLOOKUP(A750,#REF!,#REF!)</f>
        <v>#NAME?</v>
      </c>
    </row>
    <row r="751" spans="2:2" ht="13" x14ac:dyDescent="0.15">
      <c r="B751" s="8" t="e">
        <f t="array" aca="1" ref="B751" ca="1">XLOOKUP(A751,#REF!,#REF!)</f>
        <v>#NAME?</v>
      </c>
    </row>
    <row r="752" spans="2:2" ht="13" x14ac:dyDescent="0.15">
      <c r="B752" s="8" t="e">
        <f t="array" aca="1" ref="B752" ca="1">XLOOKUP(A752,#REF!,#REF!)</f>
        <v>#NAME?</v>
      </c>
    </row>
    <row r="753" spans="2:2" ht="13" x14ac:dyDescent="0.15">
      <c r="B753" s="8" t="e">
        <f t="array" aca="1" ref="B753" ca="1">XLOOKUP(A753,#REF!,#REF!)</f>
        <v>#NAME?</v>
      </c>
    </row>
    <row r="754" spans="2:2" ht="13" x14ac:dyDescent="0.15">
      <c r="B754" s="8" t="e">
        <f t="array" aca="1" ref="B754" ca="1">XLOOKUP(A754,#REF!,#REF!)</f>
        <v>#NAME?</v>
      </c>
    </row>
    <row r="755" spans="2:2" ht="13" x14ac:dyDescent="0.15">
      <c r="B755" s="8" t="e">
        <f t="array" aca="1" ref="B755" ca="1">XLOOKUP(A755,#REF!,#REF!)</f>
        <v>#NAME?</v>
      </c>
    </row>
    <row r="756" spans="2:2" ht="13" x14ac:dyDescent="0.15">
      <c r="B756" s="8" t="e">
        <f t="array" aca="1" ref="B756" ca="1">XLOOKUP(A756,#REF!,#REF!)</f>
        <v>#NAME?</v>
      </c>
    </row>
    <row r="757" spans="2:2" ht="13" x14ac:dyDescent="0.15">
      <c r="B757" s="8" t="e">
        <f t="array" aca="1" ref="B757" ca="1">XLOOKUP(A757,#REF!,#REF!)</f>
        <v>#NAME?</v>
      </c>
    </row>
    <row r="758" spans="2:2" ht="13" x14ac:dyDescent="0.15">
      <c r="B758" s="8" t="e">
        <f t="array" aca="1" ref="B758" ca="1">XLOOKUP(A758,#REF!,#REF!)</f>
        <v>#NAME?</v>
      </c>
    </row>
    <row r="759" spans="2:2" ht="13" x14ac:dyDescent="0.15">
      <c r="B759" s="8" t="e">
        <f t="array" aca="1" ref="B759" ca="1">XLOOKUP(A759,#REF!,#REF!)</f>
        <v>#NAME?</v>
      </c>
    </row>
    <row r="760" spans="2:2" ht="13" x14ac:dyDescent="0.15">
      <c r="B760" s="8" t="e">
        <f t="array" aca="1" ref="B760" ca="1">XLOOKUP(A760,#REF!,#REF!)</f>
        <v>#NAME?</v>
      </c>
    </row>
    <row r="761" spans="2:2" ht="13" x14ac:dyDescent="0.15">
      <c r="B761" s="8" t="e">
        <f t="array" aca="1" ref="B761" ca="1">XLOOKUP(A761,#REF!,#REF!)</f>
        <v>#NAME?</v>
      </c>
    </row>
    <row r="762" spans="2:2" ht="13" x14ac:dyDescent="0.15">
      <c r="B762" s="8" t="e">
        <f t="array" aca="1" ref="B762" ca="1">XLOOKUP(A762,#REF!,#REF!)</f>
        <v>#NAME?</v>
      </c>
    </row>
    <row r="763" spans="2:2" ht="13" x14ac:dyDescent="0.15">
      <c r="B763" s="8" t="e">
        <f t="array" aca="1" ref="B763" ca="1">XLOOKUP(A763,#REF!,#REF!)</f>
        <v>#NAME?</v>
      </c>
    </row>
    <row r="764" spans="2:2" ht="13" x14ac:dyDescent="0.15">
      <c r="B764" s="8" t="e">
        <f t="array" aca="1" ref="B764" ca="1">XLOOKUP(A764,#REF!,#REF!)</f>
        <v>#NAME?</v>
      </c>
    </row>
    <row r="765" spans="2:2" ht="13" x14ac:dyDescent="0.15">
      <c r="B765" s="8" t="e">
        <f t="array" aca="1" ref="B765" ca="1">XLOOKUP(A765,#REF!,#REF!)</f>
        <v>#NAME?</v>
      </c>
    </row>
    <row r="766" spans="2:2" ht="13" x14ac:dyDescent="0.15">
      <c r="B766" s="8" t="e">
        <f t="array" aca="1" ref="B766" ca="1">XLOOKUP(A766,#REF!,#REF!)</f>
        <v>#NAME?</v>
      </c>
    </row>
    <row r="767" spans="2:2" ht="13" x14ac:dyDescent="0.15">
      <c r="B767" s="8" t="e">
        <f t="array" aca="1" ref="B767" ca="1">XLOOKUP(A767,#REF!,#REF!)</f>
        <v>#NAME?</v>
      </c>
    </row>
    <row r="768" spans="2:2" ht="13" x14ac:dyDescent="0.15">
      <c r="B768" s="8" t="e">
        <f t="array" aca="1" ref="B768" ca="1">XLOOKUP(A768,#REF!,#REF!)</f>
        <v>#NAME?</v>
      </c>
    </row>
    <row r="769" spans="2:2" ht="13" x14ac:dyDescent="0.15">
      <c r="B769" s="8" t="e">
        <f t="array" aca="1" ref="B769" ca="1">XLOOKUP(A769,#REF!,#REF!)</f>
        <v>#NAME?</v>
      </c>
    </row>
    <row r="770" spans="2:2" ht="13" x14ac:dyDescent="0.15">
      <c r="B770" s="8" t="e">
        <f t="array" aca="1" ref="B770" ca="1">XLOOKUP(A770,#REF!,#REF!)</f>
        <v>#NAME?</v>
      </c>
    </row>
    <row r="771" spans="2:2" ht="13" x14ac:dyDescent="0.15">
      <c r="B771" s="8" t="e">
        <f t="array" aca="1" ref="B771" ca="1">XLOOKUP(A771,#REF!,#REF!)</f>
        <v>#NAME?</v>
      </c>
    </row>
    <row r="772" spans="2:2" ht="13" x14ac:dyDescent="0.15">
      <c r="B772" s="8" t="e">
        <f t="array" aca="1" ref="B772" ca="1">XLOOKUP(A772,#REF!,#REF!)</f>
        <v>#NAME?</v>
      </c>
    </row>
    <row r="773" spans="2:2" ht="13" x14ac:dyDescent="0.15">
      <c r="B773" s="8" t="e">
        <f t="array" aca="1" ref="B773" ca="1">XLOOKUP(A773,#REF!,#REF!)</f>
        <v>#NAME?</v>
      </c>
    </row>
    <row r="774" spans="2:2" ht="13" x14ac:dyDescent="0.15">
      <c r="B774" s="8" t="e">
        <f t="array" aca="1" ref="B774" ca="1">XLOOKUP(A774,#REF!,#REF!)</f>
        <v>#NAME?</v>
      </c>
    </row>
    <row r="775" spans="2:2" ht="13" x14ac:dyDescent="0.15">
      <c r="B775" s="8" t="e">
        <f t="array" aca="1" ref="B775" ca="1">XLOOKUP(A775,#REF!,#REF!)</f>
        <v>#NAME?</v>
      </c>
    </row>
    <row r="776" spans="2:2" ht="13" x14ac:dyDescent="0.15">
      <c r="B776" s="8" t="e">
        <f t="array" aca="1" ref="B776" ca="1">XLOOKUP(A776,#REF!,#REF!)</f>
        <v>#NAME?</v>
      </c>
    </row>
    <row r="777" spans="2:2" ht="13" x14ac:dyDescent="0.15">
      <c r="B777" s="8" t="e">
        <f t="array" aca="1" ref="B777" ca="1">XLOOKUP(A777,#REF!,#REF!)</f>
        <v>#NAME?</v>
      </c>
    </row>
    <row r="778" spans="2:2" ht="13" x14ac:dyDescent="0.15">
      <c r="B778" s="8" t="e">
        <f t="array" aca="1" ref="B778" ca="1">XLOOKUP(A778,#REF!,#REF!)</f>
        <v>#NAME?</v>
      </c>
    </row>
    <row r="779" spans="2:2" ht="13" x14ac:dyDescent="0.15">
      <c r="B779" s="8" t="e">
        <f t="array" aca="1" ref="B779" ca="1">XLOOKUP(A779,#REF!,#REF!)</f>
        <v>#NAME?</v>
      </c>
    </row>
    <row r="780" spans="2:2" ht="13" x14ac:dyDescent="0.15">
      <c r="B780" s="8" t="e">
        <f t="array" aca="1" ref="B780" ca="1">XLOOKUP(A780,#REF!,#REF!)</f>
        <v>#NAME?</v>
      </c>
    </row>
    <row r="781" spans="2:2" ht="13" x14ac:dyDescent="0.15">
      <c r="B781" s="8" t="e">
        <f t="array" aca="1" ref="B781" ca="1">XLOOKUP(A781,#REF!,#REF!)</f>
        <v>#NAME?</v>
      </c>
    </row>
    <row r="782" spans="2:2" ht="13" x14ac:dyDescent="0.15">
      <c r="B782" s="8" t="e">
        <f t="array" aca="1" ref="B782" ca="1">XLOOKUP(A782,#REF!,#REF!)</f>
        <v>#NAME?</v>
      </c>
    </row>
    <row r="783" spans="2:2" ht="13" x14ac:dyDescent="0.15">
      <c r="B783" s="8" t="e">
        <f t="array" aca="1" ref="B783" ca="1">XLOOKUP(A783,#REF!,#REF!)</f>
        <v>#NAME?</v>
      </c>
    </row>
    <row r="784" spans="2:2" ht="13" x14ac:dyDescent="0.15">
      <c r="B784" s="8" t="e">
        <f t="array" aca="1" ref="B784" ca="1">XLOOKUP(A784,#REF!,#REF!)</f>
        <v>#NAME?</v>
      </c>
    </row>
    <row r="785" spans="2:2" ht="13" x14ac:dyDescent="0.15">
      <c r="B785" s="8" t="e">
        <f t="array" aca="1" ref="B785" ca="1">XLOOKUP(A785,#REF!,#REF!)</f>
        <v>#NAME?</v>
      </c>
    </row>
    <row r="786" spans="2:2" ht="13" x14ac:dyDescent="0.15">
      <c r="B786" s="8" t="e">
        <f t="array" aca="1" ref="B786" ca="1">XLOOKUP(A786,#REF!,#REF!)</f>
        <v>#NAME?</v>
      </c>
    </row>
    <row r="787" spans="2:2" ht="13" x14ac:dyDescent="0.15">
      <c r="B787" s="8" t="e">
        <f t="array" aca="1" ref="B787" ca="1">XLOOKUP(A787,#REF!,#REF!)</f>
        <v>#NAME?</v>
      </c>
    </row>
    <row r="788" spans="2:2" ht="13" x14ac:dyDescent="0.15">
      <c r="B788" s="8" t="e">
        <f t="array" aca="1" ref="B788" ca="1">XLOOKUP(A788,#REF!,#REF!)</f>
        <v>#NAME?</v>
      </c>
    </row>
    <row r="789" spans="2:2" ht="13" x14ac:dyDescent="0.15">
      <c r="B789" s="8" t="e">
        <f t="array" aca="1" ref="B789" ca="1">XLOOKUP(A789,#REF!,#REF!)</f>
        <v>#NAME?</v>
      </c>
    </row>
    <row r="790" spans="2:2" ht="13" x14ac:dyDescent="0.15">
      <c r="B790" s="8" t="e">
        <f t="array" aca="1" ref="B790" ca="1">XLOOKUP(A790,#REF!,#REF!)</f>
        <v>#NAME?</v>
      </c>
    </row>
    <row r="791" spans="2:2" ht="13" x14ac:dyDescent="0.15">
      <c r="B791" s="8" t="e">
        <f t="array" aca="1" ref="B791" ca="1">XLOOKUP(A791,#REF!,#REF!)</f>
        <v>#NAME?</v>
      </c>
    </row>
    <row r="792" spans="2:2" ht="13" x14ac:dyDescent="0.15">
      <c r="B792" s="8" t="e">
        <f t="array" aca="1" ref="B792" ca="1">XLOOKUP(A792,#REF!,#REF!)</f>
        <v>#NAME?</v>
      </c>
    </row>
    <row r="793" spans="2:2" ht="13" x14ac:dyDescent="0.15">
      <c r="B793" s="8" t="e">
        <f t="array" aca="1" ref="B793" ca="1">XLOOKUP(A793,#REF!,#REF!)</f>
        <v>#NAME?</v>
      </c>
    </row>
    <row r="794" spans="2:2" ht="13" x14ac:dyDescent="0.15">
      <c r="B794" s="8" t="e">
        <f t="array" aca="1" ref="B794" ca="1">XLOOKUP(A794,#REF!,#REF!)</f>
        <v>#NAME?</v>
      </c>
    </row>
    <row r="795" spans="2:2" ht="13" x14ac:dyDescent="0.15">
      <c r="B795" s="8" t="e">
        <f t="array" aca="1" ref="B795" ca="1">XLOOKUP(A795,#REF!,#REF!)</f>
        <v>#NAME?</v>
      </c>
    </row>
    <row r="796" spans="2:2" ht="13" x14ac:dyDescent="0.15">
      <c r="B796" s="8" t="e">
        <f t="array" aca="1" ref="B796" ca="1">XLOOKUP(A796,#REF!,#REF!)</f>
        <v>#NAME?</v>
      </c>
    </row>
    <row r="797" spans="2:2" ht="13" x14ac:dyDescent="0.15">
      <c r="B797" s="8" t="e">
        <f t="array" aca="1" ref="B797" ca="1">XLOOKUP(A797,#REF!,#REF!)</f>
        <v>#NAME?</v>
      </c>
    </row>
    <row r="798" spans="2:2" ht="13" x14ac:dyDescent="0.15">
      <c r="B798" s="8" t="e">
        <f t="array" aca="1" ref="B798" ca="1">XLOOKUP(A798,#REF!,#REF!)</f>
        <v>#NAME?</v>
      </c>
    </row>
    <row r="799" spans="2:2" ht="13" x14ac:dyDescent="0.15">
      <c r="B799" s="8" t="e">
        <f t="array" aca="1" ref="B799" ca="1">XLOOKUP(A799,#REF!,#REF!)</f>
        <v>#NAME?</v>
      </c>
    </row>
    <row r="800" spans="2:2" ht="13" x14ac:dyDescent="0.15">
      <c r="B800" s="8" t="e">
        <f t="array" aca="1" ref="B800" ca="1">XLOOKUP(A800,#REF!,#REF!)</f>
        <v>#NAME?</v>
      </c>
    </row>
    <row r="801" spans="2:2" ht="13" x14ac:dyDescent="0.15">
      <c r="B801" s="8" t="e">
        <f t="array" aca="1" ref="B801" ca="1">XLOOKUP(A801,#REF!,#REF!)</f>
        <v>#NAME?</v>
      </c>
    </row>
    <row r="802" spans="2:2" ht="13" x14ac:dyDescent="0.15">
      <c r="B802" s="8" t="e">
        <f t="array" aca="1" ref="B802" ca="1">XLOOKUP(A802,#REF!,#REF!)</f>
        <v>#NAME?</v>
      </c>
    </row>
    <row r="803" spans="2:2" ht="13" x14ac:dyDescent="0.15">
      <c r="B803" s="8" t="e">
        <f t="array" aca="1" ref="B803" ca="1">XLOOKUP(A803,#REF!,#REF!)</f>
        <v>#NAME?</v>
      </c>
    </row>
    <row r="804" spans="2:2" ht="13" x14ac:dyDescent="0.15">
      <c r="B804" s="8" t="e">
        <f t="array" aca="1" ref="B804" ca="1">XLOOKUP(A804,#REF!,#REF!)</f>
        <v>#NAME?</v>
      </c>
    </row>
    <row r="805" spans="2:2" ht="13" x14ac:dyDescent="0.15">
      <c r="B805" s="8" t="e">
        <f t="array" aca="1" ref="B805" ca="1">XLOOKUP(A805,#REF!,#REF!)</f>
        <v>#NAME?</v>
      </c>
    </row>
    <row r="806" spans="2:2" ht="13" x14ac:dyDescent="0.15">
      <c r="B806" s="8" t="e">
        <f t="array" aca="1" ref="B806" ca="1">XLOOKUP(A806,#REF!,#REF!)</f>
        <v>#NAME?</v>
      </c>
    </row>
    <row r="807" spans="2:2" ht="13" x14ac:dyDescent="0.15">
      <c r="B807" s="8" t="e">
        <f t="array" aca="1" ref="B807" ca="1">XLOOKUP(A807,#REF!,#REF!)</f>
        <v>#NAME?</v>
      </c>
    </row>
    <row r="808" spans="2:2" ht="13" x14ac:dyDescent="0.15">
      <c r="B808" s="8" t="e">
        <f t="array" aca="1" ref="B808" ca="1">XLOOKUP(A808,#REF!,#REF!)</f>
        <v>#NAME?</v>
      </c>
    </row>
    <row r="809" spans="2:2" ht="13" x14ac:dyDescent="0.15">
      <c r="B809" s="8" t="e">
        <f t="array" aca="1" ref="B809" ca="1">XLOOKUP(A809,#REF!,#REF!)</f>
        <v>#NAME?</v>
      </c>
    </row>
    <row r="810" spans="2:2" ht="13" x14ac:dyDescent="0.15">
      <c r="B810" s="8" t="e">
        <f t="array" aca="1" ref="B810" ca="1">XLOOKUP(A810,#REF!,#REF!)</f>
        <v>#NAME?</v>
      </c>
    </row>
    <row r="811" spans="2:2" ht="13" x14ac:dyDescent="0.15">
      <c r="B811" s="8" t="e">
        <f t="array" aca="1" ref="B811" ca="1">XLOOKUP(A811,#REF!,#REF!)</f>
        <v>#NAME?</v>
      </c>
    </row>
    <row r="812" spans="2:2" ht="13" x14ac:dyDescent="0.15">
      <c r="B812" s="8" t="e">
        <f t="array" aca="1" ref="B812" ca="1">XLOOKUP(A812,#REF!,#REF!)</f>
        <v>#NAME?</v>
      </c>
    </row>
    <row r="813" spans="2:2" ht="13" x14ac:dyDescent="0.15">
      <c r="B813" s="8" t="e">
        <f t="array" aca="1" ref="B813" ca="1">XLOOKUP(A813,#REF!,#REF!)</f>
        <v>#NAME?</v>
      </c>
    </row>
    <row r="814" spans="2:2" ht="13" x14ac:dyDescent="0.15">
      <c r="B814" s="8" t="e">
        <f t="array" aca="1" ref="B814" ca="1">XLOOKUP(A814,#REF!,#REF!)</f>
        <v>#NAME?</v>
      </c>
    </row>
    <row r="815" spans="2:2" ht="13" x14ac:dyDescent="0.15">
      <c r="B815" s="8" t="e">
        <f t="array" aca="1" ref="B815" ca="1">XLOOKUP(A815,#REF!,#REF!)</f>
        <v>#NAME?</v>
      </c>
    </row>
    <row r="816" spans="2:2" ht="13" x14ac:dyDescent="0.15">
      <c r="B816" s="8" t="e">
        <f t="array" aca="1" ref="B816" ca="1">XLOOKUP(A816,#REF!,#REF!)</f>
        <v>#NAME?</v>
      </c>
    </row>
    <row r="817" spans="2:2" ht="13" x14ac:dyDescent="0.15">
      <c r="B817" s="8" t="e">
        <f t="array" aca="1" ref="B817" ca="1">XLOOKUP(A817,#REF!,#REF!)</f>
        <v>#NAME?</v>
      </c>
    </row>
    <row r="818" spans="2:2" ht="13" x14ac:dyDescent="0.15">
      <c r="B818" s="8" t="e">
        <f t="array" aca="1" ref="B818" ca="1">XLOOKUP(A818,#REF!,#REF!)</f>
        <v>#NAME?</v>
      </c>
    </row>
    <row r="819" spans="2:2" ht="13" x14ac:dyDescent="0.15">
      <c r="B819" s="8" t="e">
        <f t="array" aca="1" ref="B819" ca="1">XLOOKUP(A819,#REF!,#REF!)</f>
        <v>#NAME?</v>
      </c>
    </row>
    <row r="820" spans="2:2" ht="13" x14ac:dyDescent="0.15">
      <c r="B820" s="8" t="e">
        <f t="array" aca="1" ref="B820" ca="1">XLOOKUP(A820,#REF!,#REF!)</f>
        <v>#NAME?</v>
      </c>
    </row>
    <row r="821" spans="2:2" ht="13" x14ac:dyDescent="0.15">
      <c r="B821" s="8" t="e">
        <f t="array" aca="1" ref="B821" ca="1">XLOOKUP(A821,#REF!,#REF!)</f>
        <v>#NAME?</v>
      </c>
    </row>
    <row r="822" spans="2:2" ht="13" x14ac:dyDescent="0.15">
      <c r="B822" s="8" t="e">
        <f t="array" aca="1" ref="B822" ca="1">XLOOKUP(A822,#REF!,#REF!)</f>
        <v>#NAME?</v>
      </c>
    </row>
    <row r="823" spans="2:2" ht="13" x14ac:dyDescent="0.15">
      <c r="B823" s="8" t="e">
        <f t="array" aca="1" ref="B823" ca="1">XLOOKUP(A823,#REF!,#REF!)</f>
        <v>#NAME?</v>
      </c>
    </row>
    <row r="824" spans="2:2" ht="13" x14ac:dyDescent="0.15">
      <c r="B824" s="8" t="e">
        <f t="array" aca="1" ref="B824" ca="1">XLOOKUP(A824,#REF!,#REF!)</f>
        <v>#NAME?</v>
      </c>
    </row>
    <row r="825" spans="2:2" ht="13" x14ac:dyDescent="0.15">
      <c r="B825" s="8" t="e">
        <f t="array" aca="1" ref="B825" ca="1">XLOOKUP(A825,#REF!,#REF!)</f>
        <v>#NAME?</v>
      </c>
    </row>
    <row r="826" spans="2:2" ht="13" x14ac:dyDescent="0.15">
      <c r="B826" s="8" t="e">
        <f t="array" aca="1" ref="B826" ca="1">XLOOKUP(A826,#REF!,#REF!)</f>
        <v>#NAME?</v>
      </c>
    </row>
    <row r="827" spans="2:2" ht="13" x14ac:dyDescent="0.15">
      <c r="B827" s="8" t="e">
        <f t="array" aca="1" ref="B827" ca="1">XLOOKUP(A827,#REF!,#REF!)</f>
        <v>#NAME?</v>
      </c>
    </row>
    <row r="828" spans="2:2" ht="13" x14ac:dyDescent="0.15">
      <c r="B828" s="8" t="e">
        <f t="array" aca="1" ref="B828" ca="1">XLOOKUP(A828,#REF!,#REF!)</f>
        <v>#NAME?</v>
      </c>
    </row>
    <row r="829" spans="2:2" ht="13" x14ac:dyDescent="0.15">
      <c r="B829" s="8" t="e">
        <f t="array" aca="1" ref="B829" ca="1">XLOOKUP(A829,#REF!,#REF!)</f>
        <v>#NAME?</v>
      </c>
    </row>
    <row r="830" spans="2:2" ht="13" x14ac:dyDescent="0.15">
      <c r="B830" s="8" t="e">
        <f t="array" aca="1" ref="B830" ca="1">XLOOKUP(A830,#REF!,#REF!)</f>
        <v>#NAME?</v>
      </c>
    </row>
    <row r="831" spans="2:2" ht="13" x14ac:dyDescent="0.15">
      <c r="B831" s="8" t="e">
        <f t="array" aca="1" ref="B831" ca="1">XLOOKUP(A831,#REF!,#REF!)</f>
        <v>#NAME?</v>
      </c>
    </row>
    <row r="832" spans="2:2" ht="13" x14ac:dyDescent="0.15">
      <c r="B832" s="8" t="e">
        <f t="array" aca="1" ref="B832" ca="1">XLOOKUP(A832,#REF!,#REF!)</f>
        <v>#NAME?</v>
      </c>
    </row>
    <row r="833" spans="2:2" ht="13" x14ac:dyDescent="0.15">
      <c r="B833" s="8" t="e">
        <f t="array" aca="1" ref="B833" ca="1">XLOOKUP(A833,#REF!,#REF!)</f>
        <v>#NAME?</v>
      </c>
    </row>
    <row r="834" spans="2:2" ht="13" x14ac:dyDescent="0.15">
      <c r="B834" s="8" t="e">
        <f t="array" aca="1" ref="B834" ca="1">XLOOKUP(A834,#REF!,#REF!)</f>
        <v>#NAME?</v>
      </c>
    </row>
    <row r="835" spans="2:2" ht="13" x14ac:dyDescent="0.15">
      <c r="B835" s="8" t="e">
        <f t="array" aca="1" ref="B835" ca="1">XLOOKUP(A835,#REF!,#REF!)</f>
        <v>#NAME?</v>
      </c>
    </row>
    <row r="836" spans="2:2" ht="13" x14ac:dyDescent="0.15">
      <c r="B836" s="8" t="e">
        <f t="array" aca="1" ref="B836" ca="1">XLOOKUP(A836,#REF!,#REF!)</f>
        <v>#NAME?</v>
      </c>
    </row>
    <row r="837" spans="2:2" ht="13" x14ac:dyDescent="0.15">
      <c r="B837" s="8" t="e">
        <f t="array" aca="1" ref="B837" ca="1">XLOOKUP(A837,#REF!,#REF!)</f>
        <v>#NAME?</v>
      </c>
    </row>
    <row r="838" spans="2:2" ht="13" x14ac:dyDescent="0.15">
      <c r="B838" s="8" t="e">
        <f t="array" aca="1" ref="B838" ca="1">XLOOKUP(A838,#REF!,#REF!)</f>
        <v>#NAME?</v>
      </c>
    </row>
    <row r="839" spans="2:2" ht="13" x14ac:dyDescent="0.15">
      <c r="B839" s="8" t="e">
        <f t="array" aca="1" ref="B839" ca="1">XLOOKUP(A839,#REF!,#REF!)</f>
        <v>#NAME?</v>
      </c>
    </row>
    <row r="840" spans="2:2" ht="13" x14ac:dyDescent="0.15">
      <c r="B840" s="8" t="e">
        <f t="array" aca="1" ref="B840" ca="1">XLOOKUP(A840,#REF!,#REF!)</f>
        <v>#NAME?</v>
      </c>
    </row>
    <row r="841" spans="2:2" ht="13" x14ac:dyDescent="0.15">
      <c r="B841" s="8" t="e">
        <f t="array" aca="1" ref="B841" ca="1">XLOOKUP(A841,#REF!,#REF!)</f>
        <v>#NAME?</v>
      </c>
    </row>
    <row r="842" spans="2:2" ht="13" x14ac:dyDescent="0.15">
      <c r="B842" s="8" t="e">
        <f t="array" aca="1" ref="B842" ca="1">XLOOKUP(A842,#REF!,#REF!)</f>
        <v>#NAME?</v>
      </c>
    </row>
    <row r="843" spans="2:2" ht="13" x14ac:dyDescent="0.15">
      <c r="B843" s="8" t="e">
        <f t="array" aca="1" ref="B843" ca="1">XLOOKUP(A843,#REF!,#REF!)</f>
        <v>#NAME?</v>
      </c>
    </row>
    <row r="844" spans="2:2" ht="13" x14ac:dyDescent="0.15">
      <c r="B844" s="8" t="e">
        <f t="array" aca="1" ref="B844" ca="1">XLOOKUP(A844,#REF!,#REF!)</f>
        <v>#NAME?</v>
      </c>
    </row>
    <row r="845" spans="2:2" ht="13" x14ac:dyDescent="0.15">
      <c r="B845" s="8" t="e">
        <f t="array" aca="1" ref="B845" ca="1">XLOOKUP(A845,#REF!,#REF!)</f>
        <v>#NAME?</v>
      </c>
    </row>
    <row r="846" spans="2:2" ht="13" x14ac:dyDescent="0.15">
      <c r="B846" s="8" t="e">
        <f t="array" aca="1" ref="B846" ca="1">XLOOKUP(A846,#REF!,#REF!)</f>
        <v>#NAME?</v>
      </c>
    </row>
    <row r="847" spans="2:2" ht="13" x14ac:dyDescent="0.15">
      <c r="B847" s="8" t="e">
        <f t="array" aca="1" ref="B847" ca="1">XLOOKUP(A847,#REF!,#REF!)</f>
        <v>#NAME?</v>
      </c>
    </row>
    <row r="848" spans="2:2" ht="13" x14ac:dyDescent="0.15">
      <c r="B848" s="8" t="e">
        <f t="array" aca="1" ref="B848" ca="1">XLOOKUP(A848,#REF!,#REF!)</f>
        <v>#NAME?</v>
      </c>
    </row>
    <row r="849" spans="2:2" ht="13" x14ac:dyDescent="0.15">
      <c r="B849" s="8" t="e">
        <f t="array" aca="1" ref="B849" ca="1">XLOOKUP(A849,#REF!,#REF!)</f>
        <v>#NAME?</v>
      </c>
    </row>
    <row r="850" spans="2:2" ht="13" x14ac:dyDescent="0.15">
      <c r="B850" s="8" t="e">
        <f t="array" aca="1" ref="B850" ca="1">XLOOKUP(A850,#REF!,#REF!)</f>
        <v>#NAME?</v>
      </c>
    </row>
    <row r="851" spans="2:2" ht="13" x14ac:dyDescent="0.15">
      <c r="B851" s="8" t="e">
        <f t="array" aca="1" ref="B851" ca="1">XLOOKUP(A851,#REF!,#REF!)</f>
        <v>#NAME?</v>
      </c>
    </row>
    <row r="852" spans="2:2" ht="13" x14ac:dyDescent="0.15">
      <c r="B852" s="8" t="e">
        <f t="array" aca="1" ref="B852" ca="1">XLOOKUP(A852,#REF!,#REF!)</f>
        <v>#NAME?</v>
      </c>
    </row>
    <row r="853" spans="2:2" ht="13" x14ac:dyDescent="0.15">
      <c r="B853" s="8" t="e">
        <f t="array" aca="1" ref="B853" ca="1">XLOOKUP(A853,#REF!,#REF!)</f>
        <v>#NAME?</v>
      </c>
    </row>
    <row r="854" spans="2:2" ht="13" x14ac:dyDescent="0.15">
      <c r="B854" s="8" t="e">
        <f t="array" aca="1" ref="B854" ca="1">XLOOKUP(A854,#REF!,#REF!)</f>
        <v>#NAME?</v>
      </c>
    </row>
    <row r="855" spans="2:2" ht="13" x14ac:dyDescent="0.15">
      <c r="B855" s="8" t="e">
        <f t="array" aca="1" ref="B855" ca="1">XLOOKUP(A855,#REF!,#REF!)</f>
        <v>#NAME?</v>
      </c>
    </row>
    <row r="856" spans="2:2" ht="13" x14ac:dyDescent="0.15">
      <c r="B856" s="8" t="e">
        <f t="array" aca="1" ref="B856" ca="1">XLOOKUP(A856,#REF!,#REF!)</f>
        <v>#NAME?</v>
      </c>
    </row>
    <row r="857" spans="2:2" ht="13" x14ac:dyDescent="0.15">
      <c r="B857" s="8" t="e">
        <f t="array" aca="1" ref="B857" ca="1">XLOOKUP(A857,#REF!,#REF!)</f>
        <v>#NAME?</v>
      </c>
    </row>
    <row r="858" spans="2:2" ht="13" x14ac:dyDescent="0.15">
      <c r="B858" s="8" t="e">
        <f t="array" aca="1" ref="B858" ca="1">XLOOKUP(A858,#REF!,#REF!)</f>
        <v>#NAME?</v>
      </c>
    </row>
    <row r="859" spans="2:2" ht="13" x14ac:dyDescent="0.15">
      <c r="B859" s="8" t="e">
        <f t="array" aca="1" ref="B859" ca="1">XLOOKUP(A859,#REF!,#REF!)</f>
        <v>#NAME?</v>
      </c>
    </row>
    <row r="860" spans="2:2" ht="13" x14ac:dyDescent="0.15">
      <c r="B860" s="8" t="e">
        <f t="array" aca="1" ref="B860" ca="1">XLOOKUP(A860,#REF!,#REF!)</f>
        <v>#NAME?</v>
      </c>
    </row>
    <row r="861" spans="2:2" ht="13" x14ac:dyDescent="0.15">
      <c r="B861" s="8" t="e">
        <f t="array" aca="1" ref="B861" ca="1">XLOOKUP(A861,#REF!,#REF!)</f>
        <v>#NAME?</v>
      </c>
    </row>
    <row r="862" spans="2:2" ht="13" x14ac:dyDescent="0.15">
      <c r="B862" s="8" t="e">
        <f t="array" aca="1" ref="B862" ca="1">XLOOKUP(A862,#REF!,#REF!)</f>
        <v>#NAME?</v>
      </c>
    </row>
    <row r="863" spans="2:2" ht="13" x14ac:dyDescent="0.15">
      <c r="B863" s="8" t="e">
        <f t="array" aca="1" ref="B863" ca="1">XLOOKUP(A863,#REF!,#REF!)</f>
        <v>#NAME?</v>
      </c>
    </row>
    <row r="864" spans="2:2" ht="13" x14ac:dyDescent="0.15">
      <c r="B864" s="8" t="e">
        <f t="array" aca="1" ref="B864" ca="1">XLOOKUP(A864,#REF!,#REF!)</f>
        <v>#NAME?</v>
      </c>
    </row>
    <row r="865" spans="2:2" ht="13" x14ac:dyDescent="0.15">
      <c r="B865" s="8" t="e">
        <f t="array" aca="1" ref="B865" ca="1">XLOOKUP(A865,#REF!,#REF!)</f>
        <v>#NAME?</v>
      </c>
    </row>
    <row r="866" spans="2:2" ht="13" x14ac:dyDescent="0.15">
      <c r="B866" s="8" t="e">
        <f t="array" aca="1" ref="B866" ca="1">XLOOKUP(A866,#REF!,#REF!)</f>
        <v>#NAME?</v>
      </c>
    </row>
    <row r="867" spans="2:2" ht="13" x14ac:dyDescent="0.15">
      <c r="B867" s="8" t="e">
        <f t="array" aca="1" ref="B867" ca="1">XLOOKUP(A867,#REF!,#REF!)</f>
        <v>#NAME?</v>
      </c>
    </row>
    <row r="868" spans="2:2" ht="13" x14ac:dyDescent="0.15">
      <c r="B868" s="8" t="e">
        <f t="array" aca="1" ref="B868" ca="1">XLOOKUP(A868,#REF!,#REF!)</f>
        <v>#NAME?</v>
      </c>
    </row>
    <row r="869" spans="2:2" ht="13" x14ac:dyDescent="0.15">
      <c r="B869" s="8" t="e">
        <f t="array" aca="1" ref="B869" ca="1">XLOOKUP(A869,#REF!,#REF!)</f>
        <v>#NAME?</v>
      </c>
    </row>
    <row r="870" spans="2:2" ht="13" x14ac:dyDescent="0.15">
      <c r="B870" s="8" t="e">
        <f t="array" aca="1" ref="B870" ca="1">XLOOKUP(A870,#REF!,#REF!)</f>
        <v>#NAME?</v>
      </c>
    </row>
    <row r="871" spans="2:2" ht="13" x14ac:dyDescent="0.15">
      <c r="B871" s="8" t="e">
        <f t="array" aca="1" ref="B871" ca="1">XLOOKUP(A871,#REF!,#REF!)</f>
        <v>#NAME?</v>
      </c>
    </row>
    <row r="872" spans="2:2" ht="13" x14ac:dyDescent="0.15">
      <c r="B872" s="8" t="e">
        <f t="array" aca="1" ref="B872" ca="1">XLOOKUP(A872,#REF!,#REF!)</f>
        <v>#NAME?</v>
      </c>
    </row>
    <row r="873" spans="2:2" ht="13" x14ac:dyDescent="0.15">
      <c r="B873" s="8" t="e">
        <f t="array" aca="1" ref="B873" ca="1">XLOOKUP(A873,#REF!,#REF!)</f>
        <v>#NAME?</v>
      </c>
    </row>
    <row r="874" spans="2:2" ht="13" x14ac:dyDescent="0.15">
      <c r="B874" s="8" t="e">
        <f t="array" aca="1" ref="B874" ca="1">XLOOKUP(A874,#REF!,#REF!)</f>
        <v>#NAME?</v>
      </c>
    </row>
    <row r="875" spans="2:2" ht="13" x14ac:dyDescent="0.15">
      <c r="B875" s="8" t="e">
        <f t="array" aca="1" ref="B875" ca="1">XLOOKUP(A875,#REF!,#REF!)</f>
        <v>#NAME?</v>
      </c>
    </row>
    <row r="876" spans="2:2" ht="13" x14ac:dyDescent="0.15">
      <c r="B876" s="8" t="e">
        <f t="array" aca="1" ref="B876" ca="1">XLOOKUP(A876,#REF!,#REF!)</f>
        <v>#NAME?</v>
      </c>
    </row>
    <row r="877" spans="2:2" ht="13" x14ac:dyDescent="0.15">
      <c r="B877" s="8" t="e">
        <f t="array" aca="1" ref="B877" ca="1">XLOOKUP(A877,#REF!,#REF!)</f>
        <v>#NAME?</v>
      </c>
    </row>
    <row r="878" spans="2:2" ht="13" x14ac:dyDescent="0.15">
      <c r="B878" s="8" t="e">
        <f t="array" aca="1" ref="B878" ca="1">XLOOKUP(A878,#REF!,#REF!)</f>
        <v>#NAME?</v>
      </c>
    </row>
    <row r="879" spans="2:2" ht="13" x14ac:dyDescent="0.15">
      <c r="B879" s="8" t="e">
        <f t="array" aca="1" ref="B879" ca="1">XLOOKUP(A879,#REF!,#REF!)</f>
        <v>#NAME?</v>
      </c>
    </row>
    <row r="880" spans="2:2" ht="13" x14ac:dyDescent="0.15">
      <c r="B880" s="8" t="e">
        <f t="array" aca="1" ref="B880" ca="1">XLOOKUP(A880,#REF!,#REF!)</f>
        <v>#NAME?</v>
      </c>
    </row>
    <row r="881" spans="2:2" ht="13" x14ac:dyDescent="0.15">
      <c r="B881" s="8" t="e">
        <f t="array" aca="1" ref="B881" ca="1">XLOOKUP(A881,#REF!,#REF!)</f>
        <v>#NAME?</v>
      </c>
    </row>
    <row r="882" spans="2:2" ht="13" x14ac:dyDescent="0.15">
      <c r="B882" s="8" t="e">
        <f t="array" aca="1" ref="B882" ca="1">XLOOKUP(A882,#REF!,#REF!)</f>
        <v>#NAME?</v>
      </c>
    </row>
    <row r="883" spans="2:2" ht="13" x14ac:dyDescent="0.15">
      <c r="B883" s="8" t="e">
        <f t="array" aca="1" ref="B883" ca="1">XLOOKUP(A883,#REF!,#REF!)</f>
        <v>#NAME?</v>
      </c>
    </row>
    <row r="884" spans="2:2" ht="13" x14ac:dyDescent="0.15">
      <c r="B884" s="8" t="e">
        <f t="array" aca="1" ref="B884" ca="1">XLOOKUP(A884,#REF!,#REF!)</f>
        <v>#NAME?</v>
      </c>
    </row>
    <row r="885" spans="2:2" ht="13" x14ac:dyDescent="0.15">
      <c r="B885" s="8" t="e">
        <f t="array" aca="1" ref="B885" ca="1">XLOOKUP(A885,#REF!,#REF!)</f>
        <v>#NAME?</v>
      </c>
    </row>
    <row r="886" spans="2:2" ht="13" x14ac:dyDescent="0.15">
      <c r="B886" s="8" t="e">
        <f t="array" aca="1" ref="B886" ca="1">XLOOKUP(A886,#REF!,#REF!)</f>
        <v>#NAME?</v>
      </c>
    </row>
    <row r="887" spans="2:2" ht="13" x14ac:dyDescent="0.15">
      <c r="B887" s="8" t="e">
        <f t="array" aca="1" ref="B887" ca="1">XLOOKUP(A887,#REF!,#REF!)</f>
        <v>#NAME?</v>
      </c>
    </row>
    <row r="888" spans="2:2" ht="13" x14ac:dyDescent="0.15">
      <c r="B888" s="8" t="e">
        <f t="array" aca="1" ref="B888" ca="1">XLOOKUP(A888,#REF!,#REF!)</f>
        <v>#NAME?</v>
      </c>
    </row>
    <row r="889" spans="2:2" ht="13" x14ac:dyDescent="0.15">
      <c r="B889" s="8" t="e">
        <f t="array" aca="1" ref="B889" ca="1">XLOOKUP(A889,#REF!,#REF!)</f>
        <v>#NAME?</v>
      </c>
    </row>
    <row r="890" spans="2:2" ht="13" x14ac:dyDescent="0.15">
      <c r="B890" s="8" t="e">
        <f t="array" aca="1" ref="B890" ca="1">XLOOKUP(A890,#REF!,#REF!)</f>
        <v>#NAME?</v>
      </c>
    </row>
    <row r="891" spans="2:2" ht="13" x14ac:dyDescent="0.15">
      <c r="B891" s="8" t="e">
        <f t="array" aca="1" ref="B891" ca="1">XLOOKUP(A891,#REF!,#REF!)</f>
        <v>#NAME?</v>
      </c>
    </row>
    <row r="892" spans="2:2" ht="13" x14ac:dyDescent="0.15">
      <c r="B892" s="8" t="e">
        <f t="array" aca="1" ref="B892" ca="1">XLOOKUP(A892,#REF!,#REF!)</f>
        <v>#NAME?</v>
      </c>
    </row>
    <row r="893" spans="2:2" ht="13" x14ac:dyDescent="0.15">
      <c r="B893" s="8" t="e">
        <f t="array" aca="1" ref="B893" ca="1">XLOOKUP(A893,#REF!,#REF!)</f>
        <v>#NAME?</v>
      </c>
    </row>
    <row r="894" spans="2:2" ht="13" x14ac:dyDescent="0.15">
      <c r="B894" s="8" t="e">
        <f t="array" aca="1" ref="B894" ca="1">XLOOKUP(A894,#REF!,#REF!)</f>
        <v>#NAME?</v>
      </c>
    </row>
    <row r="895" spans="2:2" ht="13" x14ac:dyDescent="0.15">
      <c r="B895" s="8" t="e">
        <f t="array" aca="1" ref="B895" ca="1">XLOOKUP(A895,#REF!,#REF!)</f>
        <v>#NAME?</v>
      </c>
    </row>
    <row r="896" spans="2:2" ht="13" x14ac:dyDescent="0.15">
      <c r="B896" s="8" t="e">
        <f t="array" aca="1" ref="B896" ca="1">XLOOKUP(A896,#REF!,#REF!)</f>
        <v>#NAME?</v>
      </c>
    </row>
    <row r="897" spans="2:2" ht="13" x14ac:dyDescent="0.15">
      <c r="B897" s="8" t="e">
        <f t="array" aca="1" ref="B897" ca="1">XLOOKUP(A897,#REF!,#REF!)</f>
        <v>#NAME?</v>
      </c>
    </row>
    <row r="898" spans="2:2" ht="13" x14ac:dyDescent="0.15">
      <c r="B898" s="8" t="e">
        <f t="array" aca="1" ref="B898" ca="1">XLOOKUP(A898,#REF!,#REF!)</f>
        <v>#NAME?</v>
      </c>
    </row>
    <row r="899" spans="2:2" ht="13" x14ac:dyDescent="0.15">
      <c r="B899" s="8" t="e">
        <f t="array" aca="1" ref="B899" ca="1">XLOOKUP(A899,#REF!,#REF!)</f>
        <v>#NAME?</v>
      </c>
    </row>
    <row r="900" spans="2:2" ht="13" x14ac:dyDescent="0.15">
      <c r="B900" s="8" t="e">
        <f t="array" aca="1" ref="B900" ca="1">XLOOKUP(A900,#REF!,#REF!)</f>
        <v>#NAME?</v>
      </c>
    </row>
    <row r="901" spans="2:2" ht="13" x14ac:dyDescent="0.15">
      <c r="B901" s="8" t="e">
        <f t="array" aca="1" ref="B901" ca="1">XLOOKUP(A901,#REF!,#REF!)</f>
        <v>#NAME?</v>
      </c>
    </row>
    <row r="902" spans="2:2" ht="13" x14ac:dyDescent="0.15">
      <c r="B902" s="8" t="e">
        <f t="array" aca="1" ref="B902" ca="1">XLOOKUP(A902,#REF!,#REF!)</f>
        <v>#NAME?</v>
      </c>
    </row>
    <row r="903" spans="2:2" ht="13" x14ac:dyDescent="0.15">
      <c r="B903" s="8" t="e">
        <f t="array" aca="1" ref="B903" ca="1">XLOOKUP(A903,#REF!,#REF!)</f>
        <v>#NAME?</v>
      </c>
    </row>
    <row r="904" spans="2:2" ht="13" x14ac:dyDescent="0.15">
      <c r="B904" s="8" t="e">
        <f t="array" aca="1" ref="B904" ca="1">XLOOKUP(A904,#REF!,#REF!)</f>
        <v>#NAME?</v>
      </c>
    </row>
    <row r="905" spans="2:2" ht="13" x14ac:dyDescent="0.15">
      <c r="B905" s="8" t="e">
        <f t="array" aca="1" ref="B905" ca="1">XLOOKUP(A905,#REF!,#REF!)</f>
        <v>#NAME?</v>
      </c>
    </row>
    <row r="906" spans="2:2" ht="13" x14ac:dyDescent="0.15">
      <c r="B906" s="8" t="e">
        <f t="array" aca="1" ref="B906" ca="1">XLOOKUP(A906,#REF!,#REF!)</f>
        <v>#NAME?</v>
      </c>
    </row>
    <row r="907" spans="2:2" ht="13" x14ac:dyDescent="0.15">
      <c r="B907" s="8" t="e">
        <f t="array" aca="1" ref="B907" ca="1">XLOOKUP(A907,#REF!,#REF!)</f>
        <v>#NAME?</v>
      </c>
    </row>
    <row r="908" spans="2:2" ht="13" x14ac:dyDescent="0.15">
      <c r="B908" s="8" t="e">
        <f t="array" aca="1" ref="B908" ca="1">XLOOKUP(A908,#REF!,#REF!)</f>
        <v>#NAME?</v>
      </c>
    </row>
    <row r="909" spans="2:2" ht="13" x14ac:dyDescent="0.15">
      <c r="B909" s="8" t="e">
        <f t="array" aca="1" ref="B909" ca="1">XLOOKUP(A909,#REF!,#REF!)</f>
        <v>#NAME?</v>
      </c>
    </row>
    <row r="910" spans="2:2" ht="13" x14ac:dyDescent="0.15">
      <c r="B910" s="8" t="e">
        <f t="array" aca="1" ref="B910" ca="1">XLOOKUP(A910,#REF!,#REF!)</f>
        <v>#NAME?</v>
      </c>
    </row>
    <row r="911" spans="2:2" ht="13" x14ac:dyDescent="0.15">
      <c r="B911" s="8" t="e">
        <f t="array" aca="1" ref="B911" ca="1">XLOOKUP(A911,#REF!,#REF!)</f>
        <v>#NAME?</v>
      </c>
    </row>
    <row r="912" spans="2:2" ht="13" x14ac:dyDescent="0.15">
      <c r="B912" s="8" t="e">
        <f t="array" aca="1" ref="B912" ca="1">XLOOKUP(A912,#REF!,#REF!)</f>
        <v>#NAME?</v>
      </c>
    </row>
    <row r="913" spans="2:2" ht="13" x14ac:dyDescent="0.15">
      <c r="B913" s="8" t="e">
        <f t="array" aca="1" ref="B913" ca="1">XLOOKUP(A913,#REF!,#REF!)</f>
        <v>#NAME?</v>
      </c>
    </row>
    <row r="914" spans="2:2" ht="13" x14ac:dyDescent="0.15">
      <c r="B914" s="8" t="e">
        <f t="array" aca="1" ref="B914" ca="1">XLOOKUP(A914,#REF!,#REF!)</f>
        <v>#NAME?</v>
      </c>
    </row>
    <row r="915" spans="2:2" ht="13" x14ac:dyDescent="0.15">
      <c r="B915" s="8" t="e">
        <f t="array" aca="1" ref="B915" ca="1">XLOOKUP(A915,#REF!,#REF!)</f>
        <v>#NAME?</v>
      </c>
    </row>
    <row r="916" spans="2:2" ht="13" x14ac:dyDescent="0.15">
      <c r="B916" s="8" t="e">
        <f t="array" aca="1" ref="B916" ca="1">XLOOKUP(A916,#REF!,#REF!)</f>
        <v>#NAME?</v>
      </c>
    </row>
    <row r="917" spans="2:2" ht="13" x14ac:dyDescent="0.15">
      <c r="B917" s="8" t="e">
        <f t="array" aca="1" ref="B917" ca="1">XLOOKUP(A917,#REF!,#REF!)</f>
        <v>#NAME?</v>
      </c>
    </row>
    <row r="918" spans="2:2" ht="13" x14ac:dyDescent="0.15">
      <c r="B918" s="8" t="e">
        <f t="array" aca="1" ref="B918" ca="1">XLOOKUP(A918,#REF!,#REF!)</f>
        <v>#NAME?</v>
      </c>
    </row>
    <row r="919" spans="2:2" ht="13" x14ac:dyDescent="0.15">
      <c r="B919" s="8" t="e">
        <f t="array" aca="1" ref="B919" ca="1">XLOOKUP(A919,#REF!,#REF!)</f>
        <v>#NAME?</v>
      </c>
    </row>
    <row r="920" spans="2:2" ht="13" x14ac:dyDescent="0.15">
      <c r="B920" s="8" t="e">
        <f t="array" aca="1" ref="B920" ca="1">XLOOKUP(A920,#REF!,#REF!)</f>
        <v>#NAME?</v>
      </c>
    </row>
    <row r="921" spans="2:2" ht="13" x14ac:dyDescent="0.15">
      <c r="B921" s="8" t="e">
        <f t="array" aca="1" ref="B921" ca="1">XLOOKUP(A921,#REF!,#REF!)</f>
        <v>#NAME?</v>
      </c>
    </row>
    <row r="922" spans="2:2" ht="13" x14ac:dyDescent="0.15">
      <c r="B922" s="8" t="e">
        <f t="array" aca="1" ref="B922" ca="1">XLOOKUP(A922,#REF!,#REF!)</f>
        <v>#NAME?</v>
      </c>
    </row>
    <row r="923" spans="2:2" ht="13" x14ac:dyDescent="0.15">
      <c r="B923" s="8" t="e">
        <f t="array" aca="1" ref="B923" ca="1">XLOOKUP(A923,#REF!,#REF!)</f>
        <v>#NAME?</v>
      </c>
    </row>
    <row r="924" spans="2:2" ht="13" x14ac:dyDescent="0.15">
      <c r="B924" s="8" t="e">
        <f t="array" aca="1" ref="B924" ca="1">XLOOKUP(A924,#REF!,#REF!)</f>
        <v>#NAME?</v>
      </c>
    </row>
    <row r="925" spans="2:2" ht="13" x14ac:dyDescent="0.15">
      <c r="B925" s="8" t="e">
        <f t="array" aca="1" ref="B925" ca="1">XLOOKUP(A925,#REF!,#REF!)</f>
        <v>#NAME?</v>
      </c>
    </row>
    <row r="926" spans="2:2" ht="13" x14ac:dyDescent="0.15">
      <c r="B926" s="8" t="e">
        <f t="array" aca="1" ref="B926" ca="1">XLOOKUP(A926,#REF!,#REF!)</f>
        <v>#NAME?</v>
      </c>
    </row>
    <row r="927" spans="2:2" ht="13" x14ac:dyDescent="0.15">
      <c r="B927" s="8" t="e">
        <f t="array" aca="1" ref="B927" ca="1">XLOOKUP(A927,#REF!,#REF!)</f>
        <v>#NAME?</v>
      </c>
    </row>
    <row r="928" spans="2:2" ht="13" x14ac:dyDescent="0.15">
      <c r="B928" s="8" t="e">
        <f t="array" aca="1" ref="B928" ca="1">XLOOKUP(A928,#REF!,#REF!)</f>
        <v>#NAME?</v>
      </c>
    </row>
    <row r="929" spans="2:2" ht="13" x14ac:dyDescent="0.15">
      <c r="B929" s="8" t="e">
        <f t="array" aca="1" ref="B929" ca="1">XLOOKUP(A929,#REF!,#REF!)</f>
        <v>#NAME?</v>
      </c>
    </row>
    <row r="930" spans="2:2" ht="13" x14ac:dyDescent="0.15">
      <c r="B930" s="8" t="e">
        <f t="array" aca="1" ref="B930" ca="1">XLOOKUP(A930,#REF!,#REF!)</f>
        <v>#NAME?</v>
      </c>
    </row>
    <row r="931" spans="2:2" ht="13" x14ac:dyDescent="0.15">
      <c r="B931" s="8" t="e">
        <f t="array" aca="1" ref="B931" ca="1">XLOOKUP(A931,#REF!,#REF!)</f>
        <v>#NAME?</v>
      </c>
    </row>
    <row r="932" spans="2:2" ht="13" x14ac:dyDescent="0.15">
      <c r="B932" s="8" t="e">
        <f t="array" aca="1" ref="B932" ca="1">XLOOKUP(A932,#REF!,#REF!)</f>
        <v>#NAME?</v>
      </c>
    </row>
    <row r="933" spans="2:2" ht="13" x14ac:dyDescent="0.15">
      <c r="B933" s="8" t="e">
        <f t="array" aca="1" ref="B933" ca="1">XLOOKUP(A933,#REF!,#REF!)</f>
        <v>#NAME?</v>
      </c>
    </row>
    <row r="934" spans="2:2" ht="13" x14ac:dyDescent="0.15">
      <c r="B934" s="8" t="e">
        <f t="array" aca="1" ref="B934" ca="1">XLOOKUP(A934,#REF!,#REF!)</f>
        <v>#NAME?</v>
      </c>
    </row>
    <row r="935" spans="2:2" ht="13" x14ac:dyDescent="0.15">
      <c r="B935" s="8" t="e">
        <f t="array" aca="1" ref="B935" ca="1">XLOOKUP(A935,#REF!,#REF!)</f>
        <v>#NAME?</v>
      </c>
    </row>
    <row r="936" spans="2:2" ht="13" x14ac:dyDescent="0.15">
      <c r="B936" s="8" t="e">
        <f t="array" aca="1" ref="B936" ca="1">XLOOKUP(A936,#REF!,#REF!)</f>
        <v>#NAME?</v>
      </c>
    </row>
    <row r="937" spans="2:2" ht="13" x14ac:dyDescent="0.15">
      <c r="B937" s="8" t="e">
        <f t="array" aca="1" ref="B937" ca="1">XLOOKUP(A937,#REF!,#REF!)</f>
        <v>#NAME?</v>
      </c>
    </row>
    <row r="938" spans="2:2" ht="13" x14ac:dyDescent="0.15">
      <c r="B938" s="8" t="e">
        <f t="array" aca="1" ref="B938" ca="1">XLOOKUP(A938,#REF!,#REF!)</f>
        <v>#NAME?</v>
      </c>
    </row>
    <row r="939" spans="2:2" ht="13" x14ac:dyDescent="0.15">
      <c r="B939" s="8" t="e">
        <f t="array" aca="1" ref="B939" ca="1">XLOOKUP(A939,#REF!,#REF!)</f>
        <v>#NAME?</v>
      </c>
    </row>
    <row r="940" spans="2:2" ht="13" x14ac:dyDescent="0.15">
      <c r="B940" s="8" t="e">
        <f t="array" aca="1" ref="B940" ca="1">XLOOKUP(A940,#REF!,#REF!)</f>
        <v>#NAME?</v>
      </c>
    </row>
    <row r="941" spans="2:2" ht="13" x14ac:dyDescent="0.15">
      <c r="B941" s="8" t="e">
        <f t="array" aca="1" ref="B941" ca="1">XLOOKUP(A941,#REF!,#REF!)</f>
        <v>#NAME?</v>
      </c>
    </row>
    <row r="942" spans="2:2" ht="13" x14ac:dyDescent="0.15">
      <c r="B942" s="8" t="e">
        <f t="array" aca="1" ref="B942" ca="1">XLOOKUP(A942,#REF!,#REF!)</f>
        <v>#NAME?</v>
      </c>
    </row>
    <row r="943" spans="2:2" ht="13" x14ac:dyDescent="0.15">
      <c r="B943" s="8" t="e">
        <f t="array" aca="1" ref="B943" ca="1">XLOOKUP(A943,#REF!,#REF!)</f>
        <v>#NAME?</v>
      </c>
    </row>
    <row r="944" spans="2:2" ht="13" x14ac:dyDescent="0.15">
      <c r="B944" s="8" t="e">
        <f t="array" aca="1" ref="B944" ca="1">XLOOKUP(A944,#REF!,#REF!)</f>
        <v>#NAME?</v>
      </c>
    </row>
    <row r="945" spans="2:2" ht="13" x14ac:dyDescent="0.15">
      <c r="B945" s="8" t="e">
        <f t="array" aca="1" ref="B945" ca="1">XLOOKUP(A945,#REF!,#REF!)</f>
        <v>#NAME?</v>
      </c>
    </row>
    <row r="946" spans="2:2" ht="13" x14ac:dyDescent="0.15">
      <c r="B946" s="8" t="e">
        <f t="array" aca="1" ref="B946" ca="1">XLOOKUP(A946,#REF!,#REF!)</f>
        <v>#NAME?</v>
      </c>
    </row>
    <row r="947" spans="2:2" ht="13" x14ac:dyDescent="0.15">
      <c r="B947" s="8" t="e">
        <f t="array" aca="1" ref="B947" ca="1">XLOOKUP(A947,#REF!,#REF!)</f>
        <v>#NAME?</v>
      </c>
    </row>
    <row r="948" spans="2:2" ht="13" x14ac:dyDescent="0.15">
      <c r="B948" s="8" t="e">
        <f t="array" aca="1" ref="B948" ca="1">XLOOKUP(A948,#REF!,#REF!)</f>
        <v>#NAME?</v>
      </c>
    </row>
    <row r="949" spans="2:2" ht="13" x14ac:dyDescent="0.15">
      <c r="B949" s="8" t="e">
        <f t="array" aca="1" ref="B949" ca="1">XLOOKUP(A949,#REF!,#REF!)</f>
        <v>#NAME?</v>
      </c>
    </row>
    <row r="950" spans="2:2" ht="13" x14ac:dyDescent="0.15">
      <c r="B950" s="8" t="e">
        <f t="array" aca="1" ref="B950" ca="1">XLOOKUP(A950,#REF!,#REF!)</f>
        <v>#NAME?</v>
      </c>
    </row>
    <row r="951" spans="2:2" ht="13" x14ac:dyDescent="0.15">
      <c r="B951" s="8" t="e">
        <f t="array" aca="1" ref="B951" ca="1">XLOOKUP(A951,#REF!,#REF!)</f>
        <v>#NAME?</v>
      </c>
    </row>
    <row r="952" spans="2:2" ht="13" x14ac:dyDescent="0.15">
      <c r="B952" s="8" t="e">
        <f t="array" aca="1" ref="B952" ca="1">XLOOKUP(A952,#REF!,#REF!)</f>
        <v>#NAME?</v>
      </c>
    </row>
    <row r="953" spans="2:2" ht="13" x14ac:dyDescent="0.15">
      <c r="B953" s="8" t="e">
        <f t="array" aca="1" ref="B953" ca="1">XLOOKUP(A953,#REF!,#REF!)</f>
        <v>#NAME?</v>
      </c>
    </row>
    <row r="954" spans="2:2" ht="13" x14ac:dyDescent="0.15">
      <c r="B954" s="8" t="e">
        <f t="array" aca="1" ref="B954" ca="1">XLOOKUP(A954,#REF!,#REF!)</f>
        <v>#NAME?</v>
      </c>
    </row>
    <row r="955" spans="2:2" ht="13" x14ac:dyDescent="0.15">
      <c r="B955" s="8" t="e">
        <f t="array" aca="1" ref="B955" ca="1">XLOOKUP(A955,#REF!,#REF!)</f>
        <v>#NAME?</v>
      </c>
    </row>
    <row r="956" spans="2:2" ht="13" x14ac:dyDescent="0.15">
      <c r="B956" s="8" t="e">
        <f t="array" aca="1" ref="B956" ca="1">XLOOKUP(A956,#REF!,#REF!)</f>
        <v>#NAME?</v>
      </c>
    </row>
    <row r="957" spans="2:2" ht="13" x14ac:dyDescent="0.15">
      <c r="B957" s="8" t="e">
        <f t="array" aca="1" ref="B957" ca="1">XLOOKUP(A957,#REF!,#REF!)</f>
        <v>#NAME?</v>
      </c>
    </row>
    <row r="958" spans="2:2" ht="13" x14ac:dyDescent="0.15">
      <c r="B958" s="8" t="e">
        <f t="array" aca="1" ref="B958" ca="1">XLOOKUP(A958,#REF!,#REF!)</f>
        <v>#NAME?</v>
      </c>
    </row>
    <row r="959" spans="2:2" ht="13" x14ac:dyDescent="0.15">
      <c r="B959" s="8" t="e">
        <f t="array" aca="1" ref="B959" ca="1">XLOOKUP(A959,#REF!,#REF!)</f>
        <v>#NAME?</v>
      </c>
    </row>
    <row r="960" spans="2:2" ht="13" x14ac:dyDescent="0.15">
      <c r="B960" s="8" t="e">
        <f t="array" aca="1" ref="B960" ca="1">XLOOKUP(A960,#REF!,#REF!)</f>
        <v>#NAME?</v>
      </c>
    </row>
    <row r="961" spans="2:2" ht="13" x14ac:dyDescent="0.15">
      <c r="B961" s="8" t="e">
        <f t="array" aca="1" ref="B961" ca="1">XLOOKUP(A961,#REF!,#REF!)</f>
        <v>#NAME?</v>
      </c>
    </row>
    <row r="962" spans="2:2" ht="13" x14ac:dyDescent="0.15">
      <c r="B962" s="8" t="e">
        <f t="array" aca="1" ref="B962" ca="1">XLOOKUP(A962,#REF!,#REF!)</f>
        <v>#NAME?</v>
      </c>
    </row>
    <row r="963" spans="2:2" ht="13" x14ac:dyDescent="0.15">
      <c r="B963" s="8" t="e">
        <f t="array" aca="1" ref="B963" ca="1">XLOOKUP(A963,#REF!,#REF!)</f>
        <v>#NAME?</v>
      </c>
    </row>
    <row r="964" spans="2:2" ht="13" x14ac:dyDescent="0.15">
      <c r="B964" s="8" t="e">
        <f t="array" aca="1" ref="B964" ca="1">XLOOKUP(A964,#REF!,#REF!)</f>
        <v>#NAME?</v>
      </c>
    </row>
    <row r="965" spans="2:2" ht="13" x14ac:dyDescent="0.15">
      <c r="B965" s="8" t="e">
        <f t="array" aca="1" ref="B965" ca="1">XLOOKUP(A965,#REF!,#REF!)</f>
        <v>#NAME?</v>
      </c>
    </row>
    <row r="966" spans="2:2" ht="13" x14ac:dyDescent="0.15">
      <c r="B966" s="8" t="e">
        <f t="array" aca="1" ref="B966" ca="1">XLOOKUP(A966,#REF!,#REF!)</f>
        <v>#NAME?</v>
      </c>
    </row>
    <row r="967" spans="2:2" ht="13" x14ac:dyDescent="0.15">
      <c r="B967" s="8" t="e">
        <f t="array" aca="1" ref="B967" ca="1">XLOOKUP(A967,#REF!,#REF!)</f>
        <v>#NAME?</v>
      </c>
    </row>
    <row r="968" spans="2:2" ht="13" x14ac:dyDescent="0.15">
      <c r="B968" s="8" t="e">
        <f t="array" aca="1" ref="B968" ca="1">XLOOKUP(A968,#REF!,#REF!)</f>
        <v>#NAME?</v>
      </c>
    </row>
    <row r="969" spans="2:2" ht="13" x14ac:dyDescent="0.15">
      <c r="B969" s="8" t="e">
        <f t="array" aca="1" ref="B969" ca="1">XLOOKUP(A969,#REF!,#REF!)</f>
        <v>#NAME?</v>
      </c>
    </row>
    <row r="970" spans="2:2" ht="13" x14ac:dyDescent="0.15">
      <c r="B970" s="8" t="e">
        <f t="array" aca="1" ref="B970" ca="1">XLOOKUP(A970,#REF!,#REF!)</f>
        <v>#NAME?</v>
      </c>
    </row>
    <row r="971" spans="2:2" ht="13" x14ac:dyDescent="0.15">
      <c r="B971" s="8" t="e">
        <f t="array" aca="1" ref="B971" ca="1">XLOOKUP(A971,#REF!,#REF!)</f>
        <v>#NAME?</v>
      </c>
    </row>
    <row r="972" spans="2:2" ht="13" x14ac:dyDescent="0.15">
      <c r="B972" s="8" t="e">
        <f t="array" aca="1" ref="B972" ca="1">XLOOKUP(A972,#REF!,#REF!)</f>
        <v>#NAME?</v>
      </c>
    </row>
    <row r="973" spans="2:2" ht="13" x14ac:dyDescent="0.15">
      <c r="B973" s="8" t="e">
        <f t="array" aca="1" ref="B973" ca="1">XLOOKUP(A973,#REF!,#REF!)</f>
        <v>#NAME?</v>
      </c>
    </row>
    <row r="974" spans="2:2" ht="13" x14ac:dyDescent="0.15">
      <c r="B974" s="8" t="e">
        <f t="array" aca="1" ref="B974" ca="1">XLOOKUP(A974,#REF!,#REF!)</f>
        <v>#NAME?</v>
      </c>
    </row>
    <row r="975" spans="2:2" ht="13" x14ac:dyDescent="0.15">
      <c r="B975" s="8" t="e">
        <f t="array" aca="1" ref="B975" ca="1">XLOOKUP(A975,#REF!,#REF!)</f>
        <v>#NAME?</v>
      </c>
    </row>
    <row r="976" spans="2:2" ht="13" x14ac:dyDescent="0.15">
      <c r="B976" s="8" t="e">
        <f t="array" aca="1" ref="B976" ca="1">XLOOKUP(A976,#REF!,#REF!)</f>
        <v>#NAME?</v>
      </c>
    </row>
    <row r="977" spans="2:2" ht="13" x14ac:dyDescent="0.15">
      <c r="B977" s="8" t="e">
        <f t="array" aca="1" ref="B977" ca="1">XLOOKUP(A977,#REF!,#REF!)</f>
        <v>#NAME?</v>
      </c>
    </row>
    <row r="978" spans="2:2" ht="13" x14ac:dyDescent="0.15">
      <c r="B978" s="8" t="e">
        <f t="array" aca="1" ref="B978" ca="1">XLOOKUP(A978,#REF!,#REF!)</f>
        <v>#NAME?</v>
      </c>
    </row>
    <row r="979" spans="2:2" ht="13" x14ac:dyDescent="0.15">
      <c r="B979" s="8" t="e">
        <f t="array" aca="1" ref="B979" ca="1">XLOOKUP(A979,#REF!,#REF!)</f>
        <v>#NAME?</v>
      </c>
    </row>
    <row r="980" spans="2:2" ht="13" x14ac:dyDescent="0.15">
      <c r="B980" s="8" t="e">
        <f t="array" aca="1" ref="B980" ca="1">XLOOKUP(A980,#REF!,#REF!)</f>
        <v>#NAME?</v>
      </c>
    </row>
    <row r="981" spans="2:2" ht="13" x14ac:dyDescent="0.15">
      <c r="B981" s="8" t="e">
        <f t="array" aca="1" ref="B981" ca="1">XLOOKUP(A981,#REF!,#REF!)</f>
        <v>#NAME?</v>
      </c>
    </row>
    <row r="982" spans="2:2" ht="13" x14ac:dyDescent="0.15">
      <c r="B982" s="8" t="e">
        <f t="array" aca="1" ref="B982" ca="1">XLOOKUP(A982,#REF!,#REF!)</f>
        <v>#NAME?</v>
      </c>
    </row>
    <row r="983" spans="2:2" ht="13" x14ac:dyDescent="0.15">
      <c r="B983" s="8" t="e">
        <f t="array" aca="1" ref="B983" ca="1">XLOOKUP(A983,#REF!,#REF!)</f>
        <v>#NAME?</v>
      </c>
    </row>
    <row r="984" spans="2:2" ht="13" x14ac:dyDescent="0.15">
      <c r="B984" s="8" t="e">
        <f t="array" aca="1" ref="B984" ca="1">XLOOKUP(A984,#REF!,#REF!)</f>
        <v>#NAME?</v>
      </c>
    </row>
    <row r="985" spans="2:2" ht="13" x14ac:dyDescent="0.15">
      <c r="B985" s="8" t="e">
        <f t="array" aca="1" ref="B985" ca="1">XLOOKUP(A985,#REF!,#REF!)</f>
        <v>#NAME?</v>
      </c>
    </row>
    <row r="986" spans="2:2" ht="13" x14ac:dyDescent="0.15">
      <c r="B986" s="8" t="e">
        <f t="array" aca="1" ref="B986" ca="1">XLOOKUP(A986,#REF!,#REF!)</f>
        <v>#NAME?</v>
      </c>
    </row>
    <row r="987" spans="2:2" ht="13" x14ac:dyDescent="0.15">
      <c r="B987" s="8" t="e">
        <f t="array" aca="1" ref="B987" ca="1">XLOOKUP(A987,#REF!,#REF!)</f>
        <v>#NAME?</v>
      </c>
    </row>
    <row r="988" spans="2:2" ht="13" x14ac:dyDescent="0.15">
      <c r="B988" s="8" t="e">
        <f t="array" aca="1" ref="B988" ca="1">XLOOKUP(A988,#REF!,#REF!)</f>
        <v>#NAME?</v>
      </c>
    </row>
    <row r="989" spans="2:2" ht="13" x14ac:dyDescent="0.15">
      <c r="B989" s="8" t="e">
        <f t="array" aca="1" ref="B989" ca="1">XLOOKUP(A989,#REF!,#REF!)</f>
        <v>#NAME?</v>
      </c>
    </row>
    <row r="990" spans="2:2" ht="13" x14ac:dyDescent="0.15">
      <c r="B990" s="8" t="e">
        <f t="array" aca="1" ref="B990" ca="1">XLOOKUP(A990,#REF!,#REF!)</f>
        <v>#NAME?</v>
      </c>
    </row>
    <row r="991" spans="2:2" ht="13" x14ac:dyDescent="0.15">
      <c r="B991" s="8" t="e">
        <f t="array" aca="1" ref="B991" ca="1">XLOOKUP(A991,#REF!,#REF!)</f>
        <v>#NAME?</v>
      </c>
    </row>
    <row r="992" spans="2:2" ht="13" x14ac:dyDescent="0.15">
      <c r="B992" s="8" t="e">
        <f t="array" aca="1" ref="B992" ca="1">XLOOKUP(A992,#REF!,#REF!)</f>
        <v>#NAME?</v>
      </c>
    </row>
    <row r="993" spans="2:2" ht="13" x14ac:dyDescent="0.15">
      <c r="B993" s="8" t="e">
        <f t="array" aca="1" ref="B993" ca="1">XLOOKUP(A993,#REF!,#REF!)</f>
        <v>#NAME?</v>
      </c>
    </row>
    <row r="994" spans="2:2" ht="13" x14ac:dyDescent="0.15">
      <c r="B994" s="8" t="e">
        <f t="array" aca="1" ref="B994" ca="1">XLOOKUP(A994,#REF!,#REF!)</f>
        <v>#NAME?</v>
      </c>
    </row>
    <row r="995" spans="2:2" ht="13" x14ac:dyDescent="0.15">
      <c r="B995" s="8" t="e">
        <f t="array" aca="1" ref="B995" ca="1">XLOOKUP(A995,#REF!,#REF!)</f>
        <v>#NAME?</v>
      </c>
    </row>
    <row r="996" spans="2:2" ht="13" x14ac:dyDescent="0.15">
      <c r="B996" s="8" t="e">
        <f t="array" aca="1" ref="B996" ca="1">XLOOKUP(A996,#REF!,#REF!)</f>
        <v>#NAME?</v>
      </c>
    </row>
    <row r="997" spans="2:2" ht="13" x14ac:dyDescent="0.15">
      <c r="B997" s="8" t="e">
        <f t="array" aca="1" ref="B997" ca="1">XLOOKUP(A997,#REF!,#REF!)</f>
        <v>#NAME?</v>
      </c>
    </row>
    <row r="998" spans="2:2" ht="13" x14ac:dyDescent="0.15">
      <c r="B998" s="8" t="e">
        <f t="array" aca="1" ref="B998" ca="1">XLOOKUP(A998,#REF!,#REF!)</f>
        <v>#NAME?</v>
      </c>
    </row>
    <row r="999" spans="2:2" ht="13" x14ac:dyDescent="0.15">
      <c r="B999" s="8" t="e">
        <f t="array" aca="1" ref="B999" ca="1">XLOOKUP(A999,#REF!,#REF!)</f>
        <v>#NAME?</v>
      </c>
    </row>
    <row r="1000" spans="2:2" ht="13" x14ac:dyDescent="0.15">
      <c r="B1000" s="8" t="e">
        <f t="array" aca="1" ref="B1000" ca="1">XLOOKUP(A1000,#REF!,#REF!)</f>
        <v>#NAME?</v>
      </c>
    </row>
  </sheetData>
  <phoneticPr fontId="9" type="noConversion"/>
  <hyperlinks>
    <hyperlink ref="D1" r:id="rId1" location="gid=637142103" xr:uid="{00000000-0004-0000-03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outlinePr summaryBelow="0" summaryRight="0"/>
  </sheetPr>
  <dimension ref="A1:AI13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x14ac:dyDescent="0.15"/>
  <cols>
    <col min="1" max="1" width="9.6640625" customWidth="1"/>
    <col min="2" max="2" width="8" customWidth="1"/>
    <col min="3" max="3" width="7.1640625" customWidth="1"/>
    <col min="4" max="4" width="8.1640625" customWidth="1"/>
    <col min="5" max="5" width="18.83203125" customWidth="1"/>
    <col min="6" max="9" width="21.1640625" customWidth="1"/>
    <col min="10" max="10" width="23.6640625" customWidth="1"/>
    <col min="11" max="11" width="15.33203125" customWidth="1"/>
    <col min="12" max="12" width="21.5" customWidth="1"/>
    <col min="13" max="13" width="27" customWidth="1"/>
    <col min="14" max="15" width="18.83203125" customWidth="1"/>
    <col min="16" max="16" width="24.6640625" customWidth="1"/>
    <col min="17" max="17" width="26" customWidth="1"/>
    <col min="18" max="18" width="25.1640625" customWidth="1"/>
    <col min="19" max="19" width="43.1640625" customWidth="1"/>
    <col min="20" max="20" width="33.5" customWidth="1"/>
    <col min="21" max="21" width="50" customWidth="1"/>
    <col min="22" max="22" width="22.1640625" customWidth="1"/>
    <col min="23" max="23" width="48.5" customWidth="1"/>
    <col min="24" max="25" width="24.6640625" customWidth="1"/>
    <col min="26" max="26" width="26" customWidth="1"/>
    <col min="27" max="27" width="28.33203125" customWidth="1"/>
    <col min="28" max="28" width="52.1640625" customWidth="1"/>
    <col min="29" max="29" width="7.5" customWidth="1"/>
    <col min="30" max="30" width="23.5" customWidth="1"/>
    <col min="31" max="31" width="19.83203125" customWidth="1"/>
    <col min="32" max="33" width="18.83203125" customWidth="1"/>
    <col min="34" max="34" width="36.83203125" customWidth="1"/>
    <col min="35" max="35" width="51.6640625" customWidth="1"/>
  </cols>
  <sheetData>
    <row r="1" spans="1:35" ht="22.5" customHeight="1" x14ac:dyDescent="0.15">
      <c r="A1" s="6" t="s">
        <v>0</v>
      </c>
      <c r="B1" s="6" t="s">
        <v>1</v>
      </c>
      <c r="C1" s="6" t="s">
        <v>2</v>
      </c>
      <c r="D1" s="6" t="s">
        <v>3</v>
      </c>
      <c r="E1" s="6" t="s">
        <v>4</v>
      </c>
      <c r="F1" s="12" t="s">
        <v>5</v>
      </c>
      <c r="G1" s="12" t="s">
        <v>6</v>
      </c>
      <c r="H1" s="12"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row>
    <row r="2" spans="1:35" ht="22.5" customHeight="1" x14ac:dyDescent="0.15">
      <c r="A2" s="13" t="str">
        <f ca="1">IFERROR(__xludf.DUMMYFUNCTION("FILTER({'表單回覆 1 (勿動!!!)'!C2:C131, '表單回覆 1 (勿動!!!)'!E2:G131, '表單回覆 1 (勿動!!!)'!I2:I131}, '表單回覆 1 (勿動!!!)'!C2:C131 &lt;&gt; """")"),"杜宥霖")</f>
        <v>杜宥霖</v>
      </c>
      <c r="B2" s="4" t="str">
        <f ca="1">IFERROR(__xludf.DUMMYFUNCTION("""COMPUTED_VALUE"""),"生理男")</f>
        <v>生理男</v>
      </c>
      <c r="C2" s="4" t="str">
        <f ca="1">IFERROR(__xludf.DUMMYFUNCTION("""COMPUTED_VALUE"""),"31-35")</f>
        <v>31-35</v>
      </c>
      <c r="D2" s="4" t="str">
        <f ca="1">IFERROR(__xludf.DUMMYFUNCTION("""COMPUTED_VALUE"""),"臺北市")</f>
        <v>臺北市</v>
      </c>
      <c r="E2" s="4" t="str">
        <f ca="1">IFERROR(__xludf.DUMMYFUNCTION("""COMPUTED_VALUE"""),"研究助理")</f>
        <v>研究助理</v>
      </c>
      <c r="F2" s="14" t="e">
        <f t="array" aca="1" ref="F2:H2" ca="1">XLOOKUP(A2,'彼此影業 劇本盲測對象調查 - 盲測初選名單 (已自動連結)'!B:B,'彼此影業 劇本盲測對象調查 - 盲測初選名單 (已自動連結)'!H:J)</f>
        <v>#NAME?</v>
      </c>
      <c r="G2" s="3" t="e">
        <f ca="1"/>
        <v>#NAME?</v>
      </c>
      <c r="H2" s="3" t="e">
        <f ca="1"/>
        <v>#NAME?</v>
      </c>
      <c r="I2" s="13" t="e">
        <f t="array" aca="1" ref="I2:AI2" ca="1">XLOOKUP(A2,#REF!,#REF!)</f>
        <v>#NAME?</v>
      </c>
      <c r="J2" s="4" t="e">
        <f ca="1"/>
        <v>#NAME?</v>
      </c>
      <c r="K2" s="4" t="e">
        <f ca="1"/>
        <v>#NAME?</v>
      </c>
      <c r="L2" s="4" t="e">
        <f ca="1"/>
        <v>#NAME?</v>
      </c>
      <c r="M2" s="4" t="e">
        <f ca="1"/>
        <v>#NAME?</v>
      </c>
      <c r="N2" s="4" t="e">
        <f ca="1"/>
        <v>#NAME?</v>
      </c>
      <c r="O2" s="4" t="e">
        <f ca="1"/>
        <v>#NAME?</v>
      </c>
      <c r="P2" s="4" t="e">
        <f ca="1"/>
        <v>#NAME?</v>
      </c>
      <c r="Q2" s="4" t="e">
        <f ca="1"/>
        <v>#NAME?</v>
      </c>
      <c r="R2" s="4" t="e">
        <f ca="1"/>
        <v>#NAME?</v>
      </c>
      <c r="S2" s="4" t="e">
        <f ca="1"/>
        <v>#NAME?</v>
      </c>
      <c r="T2" s="4" t="e">
        <f ca="1"/>
        <v>#NAME?</v>
      </c>
      <c r="U2" s="4" t="e">
        <f ca="1"/>
        <v>#NAME?</v>
      </c>
      <c r="V2" s="4" t="e">
        <f ca="1"/>
        <v>#NAME?</v>
      </c>
      <c r="W2" s="4" t="e">
        <f ca="1"/>
        <v>#NAME?</v>
      </c>
      <c r="X2" s="4" t="e">
        <f ca="1"/>
        <v>#NAME?</v>
      </c>
      <c r="Y2" s="4" t="e">
        <f ca="1"/>
        <v>#NAME?</v>
      </c>
      <c r="Z2" s="4" t="e">
        <f ca="1"/>
        <v>#NAME?</v>
      </c>
      <c r="AA2" s="4" t="e">
        <f ca="1"/>
        <v>#NAME?</v>
      </c>
      <c r="AB2" s="4" t="e">
        <f ca="1"/>
        <v>#NAME?</v>
      </c>
      <c r="AC2" s="4" t="e">
        <f ca="1"/>
        <v>#NAME?</v>
      </c>
      <c r="AD2" s="4" t="e">
        <f ca="1"/>
        <v>#NAME?</v>
      </c>
      <c r="AE2" s="4" t="e">
        <f ca="1"/>
        <v>#NAME?</v>
      </c>
      <c r="AF2" s="4" t="e">
        <f ca="1"/>
        <v>#NAME?</v>
      </c>
      <c r="AG2" s="4" t="e">
        <f ca="1"/>
        <v>#NAME?</v>
      </c>
      <c r="AH2" s="4" t="e">
        <f ca="1"/>
        <v>#NAME?</v>
      </c>
      <c r="AI2" s="4" t="e">
        <f ca="1"/>
        <v>#NAME?</v>
      </c>
    </row>
    <row r="3" spans="1:35" ht="22.5" customHeight="1" x14ac:dyDescent="0.15">
      <c r="A3" s="1" t="str">
        <f ca="1">IFERROR(__xludf.DUMMYFUNCTION("""COMPUTED_VALUE"""),"林昭彥")</f>
        <v>林昭彥</v>
      </c>
      <c r="B3" s="1" t="str">
        <f ca="1">IFERROR(__xludf.DUMMYFUNCTION("""COMPUTED_VALUE"""),"生理男")</f>
        <v>生理男</v>
      </c>
      <c r="C3" s="1" t="str">
        <f ca="1">IFERROR(__xludf.DUMMYFUNCTION("""COMPUTED_VALUE"""),"41-45")</f>
        <v>41-45</v>
      </c>
      <c r="D3" s="1" t="str">
        <f ca="1">IFERROR(__xludf.DUMMYFUNCTION("""COMPUTED_VALUE"""),"桃園市")</f>
        <v>桃園市</v>
      </c>
      <c r="E3" s="1" t="str">
        <f ca="1">IFERROR(__xludf.DUMMYFUNCTION("""COMPUTED_VALUE"""),"科技業")</f>
        <v>科技業</v>
      </c>
      <c r="F3" s="3" t="e">
        <f t="array" aca="1" ref="F3:H3" ca="1">XLOOKUP(A3,'彼此影業 劇本盲測對象調查 - 盲測初選名單 (已自動連結)'!B:B,'彼此影業 劇本盲測對象調查 - 盲測初選名單 (已自動連結)'!H:J)</f>
        <v>#NAME?</v>
      </c>
      <c r="G3" s="1" t="e">
        <f ca="1"/>
        <v>#NAME?</v>
      </c>
      <c r="H3" s="1" t="e">
        <f ca="1"/>
        <v>#NAME?</v>
      </c>
      <c r="I3" s="4" t="e">
        <f t="array" aca="1" ref="I3:AI3" ca="1">XLOOKUP(A3,#REF!,#REF!)</f>
        <v>#NAME?</v>
      </c>
      <c r="J3" s="1" t="e">
        <f ca="1"/>
        <v>#NAME?</v>
      </c>
      <c r="K3" s="1" t="e">
        <f ca="1"/>
        <v>#NAME?</v>
      </c>
      <c r="L3" s="1" t="e">
        <f ca="1"/>
        <v>#NAME?</v>
      </c>
      <c r="M3" s="1" t="e">
        <f ca="1"/>
        <v>#NAME?</v>
      </c>
      <c r="N3" s="1" t="e">
        <f ca="1"/>
        <v>#NAME?</v>
      </c>
      <c r="O3" s="1" t="e">
        <f ca="1"/>
        <v>#NAME?</v>
      </c>
      <c r="P3" s="1" t="e">
        <f ca="1"/>
        <v>#NAME?</v>
      </c>
      <c r="Q3" s="1" t="e">
        <f ca="1"/>
        <v>#NAME?</v>
      </c>
      <c r="R3" s="1" t="e">
        <f ca="1"/>
        <v>#NAME?</v>
      </c>
      <c r="S3" s="1" t="e">
        <f ca="1"/>
        <v>#NAME?</v>
      </c>
      <c r="T3" s="1" t="e">
        <f ca="1"/>
        <v>#NAME?</v>
      </c>
      <c r="U3" s="1" t="e">
        <f ca="1"/>
        <v>#NAME?</v>
      </c>
      <c r="V3" s="1" t="e">
        <f ca="1"/>
        <v>#NAME?</v>
      </c>
      <c r="W3" s="1" t="e">
        <f ca="1"/>
        <v>#NAME?</v>
      </c>
      <c r="X3" s="1" t="e">
        <f ca="1"/>
        <v>#NAME?</v>
      </c>
      <c r="Y3" s="1" t="e">
        <f ca="1"/>
        <v>#NAME?</v>
      </c>
      <c r="Z3" s="1" t="e">
        <f ca="1"/>
        <v>#NAME?</v>
      </c>
      <c r="AA3" s="1" t="e">
        <f ca="1"/>
        <v>#NAME?</v>
      </c>
      <c r="AB3" s="1" t="e">
        <f ca="1"/>
        <v>#NAME?</v>
      </c>
      <c r="AC3" s="1" t="e">
        <f ca="1"/>
        <v>#NAME?</v>
      </c>
      <c r="AD3" s="1" t="e">
        <f ca="1"/>
        <v>#NAME?</v>
      </c>
      <c r="AE3" s="1" t="e">
        <f ca="1"/>
        <v>#NAME?</v>
      </c>
      <c r="AF3" s="1" t="e">
        <f ca="1"/>
        <v>#NAME?</v>
      </c>
      <c r="AG3" s="1" t="e">
        <f ca="1"/>
        <v>#NAME?</v>
      </c>
      <c r="AH3" s="1" t="e">
        <f ca="1"/>
        <v>#NAME?</v>
      </c>
      <c r="AI3" s="1" t="e">
        <f ca="1"/>
        <v>#NAME?</v>
      </c>
    </row>
    <row r="4" spans="1:35" ht="22.5" customHeight="1" x14ac:dyDescent="0.15">
      <c r="A4" s="1" t="str">
        <f ca="1">IFERROR(__xludf.DUMMYFUNCTION("""COMPUTED_VALUE"""),"劉瑋澔")</f>
        <v>劉瑋澔</v>
      </c>
      <c r="B4" s="1" t="str">
        <f ca="1">IFERROR(__xludf.DUMMYFUNCTION("""COMPUTED_VALUE"""),"生理男")</f>
        <v>生理男</v>
      </c>
      <c r="C4" s="1" t="str">
        <f ca="1">IFERROR(__xludf.DUMMYFUNCTION("""COMPUTED_VALUE"""),"36-40")</f>
        <v>36-40</v>
      </c>
      <c r="D4" s="1" t="str">
        <f ca="1">IFERROR(__xludf.DUMMYFUNCTION("""COMPUTED_VALUE"""),"臺北市")</f>
        <v>臺北市</v>
      </c>
      <c r="E4" s="1" t="str">
        <f ca="1">IFERROR(__xludf.DUMMYFUNCTION("""COMPUTED_VALUE"""),"網路科技業")</f>
        <v>網路科技業</v>
      </c>
      <c r="F4" s="3" t="e">
        <f t="array" aca="1" ref="F4:H4" ca="1">XLOOKUP(A4,'彼此影業 劇本盲測對象調查 - 盲測初選名單 (已自動連結)'!B:B,'彼此影業 劇本盲測對象調查 - 盲測初選名單 (已自動連結)'!H:J)</f>
        <v>#NAME?</v>
      </c>
      <c r="G4" s="1" t="e">
        <f ca="1"/>
        <v>#NAME?</v>
      </c>
      <c r="H4" s="1" t="e">
        <f ca="1"/>
        <v>#NAME?</v>
      </c>
      <c r="I4" s="4" t="e">
        <f t="array" aca="1" ref="I4:AI4" ca="1">XLOOKUP(A4,#REF!,#REF!)</f>
        <v>#NAME?</v>
      </c>
      <c r="J4" s="1" t="e">
        <f ca="1"/>
        <v>#NAME?</v>
      </c>
      <c r="K4" s="1" t="e">
        <f ca="1"/>
        <v>#NAME?</v>
      </c>
      <c r="L4" s="1" t="e">
        <f ca="1"/>
        <v>#NAME?</v>
      </c>
      <c r="M4" s="1" t="e">
        <f ca="1"/>
        <v>#NAME?</v>
      </c>
      <c r="N4" s="1" t="e">
        <f ca="1"/>
        <v>#NAME?</v>
      </c>
      <c r="O4" s="1" t="e">
        <f ca="1"/>
        <v>#NAME?</v>
      </c>
      <c r="P4" s="1" t="e">
        <f ca="1"/>
        <v>#NAME?</v>
      </c>
      <c r="Q4" s="1" t="e">
        <f ca="1"/>
        <v>#NAME?</v>
      </c>
      <c r="R4" s="1" t="e">
        <f ca="1"/>
        <v>#NAME?</v>
      </c>
      <c r="S4" s="1" t="e">
        <f ca="1"/>
        <v>#NAME?</v>
      </c>
      <c r="T4" s="1" t="e">
        <f ca="1"/>
        <v>#NAME?</v>
      </c>
      <c r="U4" s="1" t="e">
        <f ca="1"/>
        <v>#NAME?</v>
      </c>
      <c r="V4" s="1" t="e">
        <f ca="1"/>
        <v>#NAME?</v>
      </c>
      <c r="W4" s="1" t="e">
        <f ca="1"/>
        <v>#NAME?</v>
      </c>
      <c r="X4" s="1" t="e">
        <f ca="1"/>
        <v>#NAME?</v>
      </c>
      <c r="Y4" s="1" t="e">
        <f ca="1"/>
        <v>#NAME?</v>
      </c>
      <c r="Z4" s="1" t="e">
        <f ca="1"/>
        <v>#NAME?</v>
      </c>
      <c r="AA4" s="1" t="e">
        <f ca="1"/>
        <v>#NAME?</v>
      </c>
      <c r="AB4" s="1" t="e">
        <f ca="1"/>
        <v>#NAME?</v>
      </c>
      <c r="AC4" s="1" t="e">
        <f ca="1"/>
        <v>#NAME?</v>
      </c>
      <c r="AD4" s="1" t="e">
        <f ca="1"/>
        <v>#NAME?</v>
      </c>
      <c r="AE4" s="1" t="e">
        <f ca="1"/>
        <v>#NAME?</v>
      </c>
      <c r="AF4" s="1" t="e">
        <f ca="1"/>
        <v>#NAME?</v>
      </c>
      <c r="AG4" s="1" t="e">
        <f ca="1"/>
        <v>#NAME?</v>
      </c>
      <c r="AH4" s="1" t="e">
        <f ca="1"/>
        <v>#NAME?</v>
      </c>
      <c r="AI4" s="1" t="e">
        <f ca="1"/>
        <v>#NAME?</v>
      </c>
    </row>
    <row r="5" spans="1:35" ht="22.5" customHeight="1" x14ac:dyDescent="0.15">
      <c r="A5" s="1" t="str">
        <f ca="1">IFERROR(__xludf.DUMMYFUNCTION("""COMPUTED_VALUE"""),"林羿豪")</f>
        <v>林羿豪</v>
      </c>
      <c r="B5" s="1" t="str">
        <f ca="1">IFERROR(__xludf.DUMMYFUNCTION("""COMPUTED_VALUE"""),"生理男")</f>
        <v>生理男</v>
      </c>
      <c r="C5" s="1" t="str">
        <f ca="1">IFERROR(__xludf.DUMMYFUNCTION("""COMPUTED_VALUE"""),"36-40")</f>
        <v>36-40</v>
      </c>
      <c r="D5" s="1" t="str">
        <f ca="1">IFERROR(__xludf.DUMMYFUNCTION("""COMPUTED_VALUE"""),"新北市")</f>
        <v>新北市</v>
      </c>
      <c r="E5" s="1" t="str">
        <f ca="1">IFERROR(__xludf.DUMMYFUNCTION("""COMPUTED_VALUE"""),"電商")</f>
        <v>電商</v>
      </c>
      <c r="F5" s="3" t="e">
        <f t="array" aca="1" ref="F5:H5" ca="1">XLOOKUP(A5,'彼此影業 劇本盲測對象調查 - 盲測初選名單 (已自動連結)'!B:B,'彼此影業 劇本盲測對象調查 - 盲測初選名單 (已自動連結)'!H:J)</f>
        <v>#NAME?</v>
      </c>
      <c r="G5" s="1" t="e">
        <f ca="1"/>
        <v>#NAME?</v>
      </c>
      <c r="H5" s="1" t="e">
        <f ca="1"/>
        <v>#NAME?</v>
      </c>
      <c r="I5" s="4" t="e">
        <f t="array" aca="1" ref="I5:AI5" ca="1">XLOOKUP(A5,#REF!,#REF!)</f>
        <v>#NAME?</v>
      </c>
      <c r="J5" s="1" t="e">
        <f ca="1"/>
        <v>#NAME?</v>
      </c>
      <c r="K5" s="1" t="e">
        <f ca="1"/>
        <v>#NAME?</v>
      </c>
      <c r="L5" s="1" t="e">
        <f ca="1"/>
        <v>#NAME?</v>
      </c>
      <c r="M5" s="1" t="e">
        <f ca="1"/>
        <v>#NAME?</v>
      </c>
      <c r="N5" s="1" t="e">
        <f ca="1"/>
        <v>#NAME?</v>
      </c>
      <c r="O5" s="1" t="e">
        <f ca="1"/>
        <v>#NAME?</v>
      </c>
      <c r="P5" s="1" t="e">
        <f ca="1"/>
        <v>#NAME?</v>
      </c>
      <c r="Q5" s="1" t="e">
        <f ca="1"/>
        <v>#NAME?</v>
      </c>
      <c r="R5" s="1" t="e">
        <f ca="1"/>
        <v>#NAME?</v>
      </c>
      <c r="S5" s="1" t="e">
        <f ca="1"/>
        <v>#NAME?</v>
      </c>
      <c r="T5" s="1" t="e">
        <f ca="1"/>
        <v>#NAME?</v>
      </c>
      <c r="U5" s="1" t="e">
        <f ca="1"/>
        <v>#NAME?</v>
      </c>
      <c r="V5" s="1" t="e">
        <f ca="1"/>
        <v>#NAME?</v>
      </c>
      <c r="W5" s="1" t="e">
        <f ca="1"/>
        <v>#NAME?</v>
      </c>
      <c r="X5" s="1" t="e">
        <f ca="1"/>
        <v>#NAME?</v>
      </c>
      <c r="Y5" s="1" t="e">
        <f ca="1"/>
        <v>#NAME?</v>
      </c>
      <c r="Z5" s="1" t="e">
        <f ca="1"/>
        <v>#NAME?</v>
      </c>
      <c r="AA5" s="1" t="e">
        <f ca="1"/>
        <v>#NAME?</v>
      </c>
      <c r="AB5" s="1" t="e">
        <f ca="1"/>
        <v>#NAME?</v>
      </c>
      <c r="AC5" s="1" t="e">
        <f ca="1"/>
        <v>#NAME?</v>
      </c>
      <c r="AD5" s="1" t="e">
        <f ca="1"/>
        <v>#NAME?</v>
      </c>
      <c r="AE5" s="1" t="e">
        <f ca="1"/>
        <v>#NAME?</v>
      </c>
      <c r="AF5" s="1" t="e">
        <f ca="1"/>
        <v>#NAME?</v>
      </c>
      <c r="AG5" s="1" t="e">
        <f ca="1"/>
        <v>#NAME?</v>
      </c>
      <c r="AH5" s="1" t="e">
        <f ca="1"/>
        <v>#NAME?</v>
      </c>
      <c r="AI5" s="1" t="e">
        <f ca="1"/>
        <v>#NAME?</v>
      </c>
    </row>
    <row r="6" spans="1:35" ht="22.5" customHeight="1" x14ac:dyDescent="0.15">
      <c r="A6" s="1" t="str">
        <f ca="1">IFERROR(__xludf.DUMMYFUNCTION("""COMPUTED_VALUE"""),"李艷娟")</f>
        <v>李艷娟</v>
      </c>
      <c r="B6" s="1" t="str">
        <f ca="1">IFERROR(__xludf.DUMMYFUNCTION("""COMPUTED_VALUE"""),"生理女")</f>
        <v>生理女</v>
      </c>
      <c r="C6" s="1" t="str">
        <f ca="1">IFERROR(__xludf.DUMMYFUNCTION("""COMPUTED_VALUE"""),"26-30")</f>
        <v>26-30</v>
      </c>
      <c r="D6" s="1" t="str">
        <f ca="1">IFERROR(__xludf.DUMMYFUNCTION("""COMPUTED_VALUE"""),"新北市")</f>
        <v>新北市</v>
      </c>
      <c r="E6" s="1" t="str">
        <f ca="1">IFERROR(__xludf.DUMMYFUNCTION("""COMPUTED_VALUE"""),"學術研究與教育產業")</f>
        <v>學術研究與教育產業</v>
      </c>
      <c r="F6" s="3" t="e">
        <f t="array" aca="1" ref="F6:H6" ca="1">XLOOKUP(A6,'彼此影業 劇本盲測對象調查 - 盲測初選名單 (已自動連結)'!B:B,'彼此影業 劇本盲測對象調查 - 盲測初選名單 (已自動連結)'!H:J)</f>
        <v>#NAME?</v>
      </c>
      <c r="G6" s="1" t="e">
        <f ca="1"/>
        <v>#NAME?</v>
      </c>
      <c r="H6" s="1" t="e">
        <f ca="1"/>
        <v>#NAME?</v>
      </c>
      <c r="I6" s="4" t="e">
        <f t="array" aca="1" ref="I6:AI6" ca="1">XLOOKUP(A6,#REF!,#REF!)</f>
        <v>#NAME?</v>
      </c>
      <c r="J6" s="1" t="e">
        <f ca="1"/>
        <v>#NAME?</v>
      </c>
      <c r="K6" s="1" t="e">
        <f ca="1"/>
        <v>#NAME?</v>
      </c>
      <c r="L6" s="1" t="e">
        <f ca="1"/>
        <v>#NAME?</v>
      </c>
      <c r="M6" s="1" t="e">
        <f ca="1"/>
        <v>#NAME?</v>
      </c>
      <c r="N6" s="1" t="e">
        <f ca="1"/>
        <v>#NAME?</v>
      </c>
      <c r="O6" s="1" t="e">
        <f ca="1"/>
        <v>#NAME?</v>
      </c>
      <c r="P6" s="1" t="e">
        <f ca="1"/>
        <v>#NAME?</v>
      </c>
      <c r="Q6" s="1" t="e">
        <f ca="1"/>
        <v>#NAME?</v>
      </c>
      <c r="R6" s="1" t="e">
        <f ca="1"/>
        <v>#NAME?</v>
      </c>
      <c r="S6" s="1" t="e">
        <f ca="1"/>
        <v>#NAME?</v>
      </c>
      <c r="T6" s="1" t="e">
        <f ca="1"/>
        <v>#NAME?</v>
      </c>
      <c r="U6" s="1" t="e">
        <f ca="1"/>
        <v>#NAME?</v>
      </c>
      <c r="V6" s="1" t="e">
        <f ca="1"/>
        <v>#NAME?</v>
      </c>
      <c r="W6" s="1" t="e">
        <f ca="1"/>
        <v>#NAME?</v>
      </c>
      <c r="X6" s="1" t="e">
        <f ca="1"/>
        <v>#NAME?</v>
      </c>
      <c r="Y6" s="1" t="e">
        <f ca="1"/>
        <v>#NAME?</v>
      </c>
      <c r="Z6" s="1" t="e">
        <f ca="1"/>
        <v>#NAME?</v>
      </c>
      <c r="AA6" s="1" t="e">
        <f ca="1"/>
        <v>#NAME?</v>
      </c>
      <c r="AB6" s="1" t="e">
        <f ca="1"/>
        <v>#NAME?</v>
      </c>
      <c r="AC6" s="1" t="e">
        <f ca="1"/>
        <v>#NAME?</v>
      </c>
      <c r="AD6" s="1" t="e">
        <f ca="1"/>
        <v>#NAME?</v>
      </c>
      <c r="AE6" s="1" t="e">
        <f ca="1"/>
        <v>#NAME?</v>
      </c>
      <c r="AF6" s="1" t="e">
        <f ca="1"/>
        <v>#NAME?</v>
      </c>
      <c r="AG6" s="1" t="e">
        <f ca="1"/>
        <v>#NAME?</v>
      </c>
      <c r="AH6" s="1" t="e">
        <f ca="1"/>
        <v>#NAME?</v>
      </c>
      <c r="AI6" s="1" t="e">
        <f ca="1"/>
        <v>#NAME?</v>
      </c>
    </row>
    <row r="7" spans="1:35" ht="22.5" customHeight="1" x14ac:dyDescent="0.15">
      <c r="A7" s="1" t="str">
        <f ca="1">IFERROR(__xludf.DUMMYFUNCTION("""COMPUTED_VALUE"""),"吳香穎")</f>
        <v>吳香穎</v>
      </c>
      <c r="B7" s="1" t="str">
        <f ca="1">IFERROR(__xludf.DUMMYFUNCTION("""COMPUTED_VALUE"""),"生理女")</f>
        <v>生理女</v>
      </c>
      <c r="C7" s="1" t="str">
        <f ca="1">IFERROR(__xludf.DUMMYFUNCTION("""COMPUTED_VALUE"""),"31-35")</f>
        <v>31-35</v>
      </c>
      <c r="D7" s="1" t="str">
        <f ca="1">IFERROR(__xludf.DUMMYFUNCTION("""COMPUTED_VALUE"""),"臺北市")</f>
        <v>臺北市</v>
      </c>
      <c r="E7" s="1" t="str">
        <f ca="1">IFERROR(__xludf.DUMMYFUNCTION("""COMPUTED_VALUE"""),"顧問業")</f>
        <v>顧問業</v>
      </c>
      <c r="F7" s="3" t="e">
        <f t="array" aca="1" ref="F7:H7" ca="1">XLOOKUP(A7,'彼此影業 劇本盲測對象調查 - 盲測初選名單 (已自動連結)'!B:B,'彼此影業 劇本盲測對象調查 - 盲測初選名單 (已自動連結)'!H:J)</f>
        <v>#NAME?</v>
      </c>
      <c r="G7" s="1" t="e">
        <f ca="1"/>
        <v>#NAME?</v>
      </c>
      <c r="H7" s="1" t="e">
        <f ca="1"/>
        <v>#NAME?</v>
      </c>
      <c r="I7" s="4" t="e">
        <f t="array" aca="1" ref="I7:AI7" ca="1">XLOOKUP(A7,#REF!,#REF!)</f>
        <v>#NAME?</v>
      </c>
      <c r="J7" s="1" t="e">
        <f ca="1"/>
        <v>#NAME?</v>
      </c>
      <c r="K7" s="1" t="e">
        <f ca="1"/>
        <v>#NAME?</v>
      </c>
      <c r="L7" s="1" t="e">
        <f ca="1"/>
        <v>#NAME?</v>
      </c>
      <c r="M7" s="1" t="e">
        <f ca="1"/>
        <v>#NAME?</v>
      </c>
      <c r="N7" s="1" t="e">
        <f ca="1"/>
        <v>#NAME?</v>
      </c>
      <c r="O7" s="1" t="e">
        <f ca="1"/>
        <v>#NAME?</v>
      </c>
      <c r="P7" s="1" t="e">
        <f ca="1"/>
        <v>#NAME?</v>
      </c>
      <c r="Q7" s="1" t="e">
        <f ca="1"/>
        <v>#NAME?</v>
      </c>
      <c r="R7" s="1" t="e">
        <f ca="1"/>
        <v>#NAME?</v>
      </c>
      <c r="S7" s="1" t="e">
        <f ca="1"/>
        <v>#NAME?</v>
      </c>
      <c r="T7" s="1" t="e">
        <f ca="1"/>
        <v>#NAME?</v>
      </c>
      <c r="U7" s="1" t="e">
        <f ca="1"/>
        <v>#NAME?</v>
      </c>
      <c r="V7" s="1" t="e">
        <f ca="1"/>
        <v>#NAME?</v>
      </c>
      <c r="W7" s="1" t="e">
        <f ca="1"/>
        <v>#NAME?</v>
      </c>
      <c r="X7" s="1" t="e">
        <f ca="1"/>
        <v>#NAME?</v>
      </c>
      <c r="Y7" s="1" t="e">
        <f ca="1"/>
        <v>#NAME?</v>
      </c>
      <c r="Z7" s="1" t="e">
        <f ca="1"/>
        <v>#NAME?</v>
      </c>
      <c r="AA7" s="1" t="e">
        <f ca="1"/>
        <v>#NAME?</v>
      </c>
      <c r="AB7" s="1" t="e">
        <f ca="1"/>
        <v>#NAME?</v>
      </c>
      <c r="AC7" s="1" t="e">
        <f ca="1"/>
        <v>#NAME?</v>
      </c>
      <c r="AD7" s="1" t="e">
        <f ca="1"/>
        <v>#NAME?</v>
      </c>
      <c r="AE7" s="1" t="e">
        <f ca="1"/>
        <v>#NAME?</v>
      </c>
      <c r="AF7" s="1" t="e">
        <f ca="1"/>
        <v>#NAME?</v>
      </c>
      <c r="AG7" s="1" t="e">
        <f ca="1"/>
        <v>#NAME?</v>
      </c>
      <c r="AH7" s="1" t="e">
        <f ca="1"/>
        <v>#NAME?</v>
      </c>
      <c r="AI7" s="1" t="e">
        <f ca="1"/>
        <v>#NAME?</v>
      </c>
    </row>
    <row r="8" spans="1:35" ht="22.5" customHeight="1" x14ac:dyDescent="0.15">
      <c r="A8" s="1" t="str">
        <f ca="1">IFERROR(__xludf.DUMMYFUNCTION("""COMPUTED_VALUE"""),"阮奕安")</f>
        <v>阮奕安</v>
      </c>
      <c r="B8" s="1" t="str">
        <f ca="1">IFERROR(__xludf.DUMMYFUNCTION("""COMPUTED_VALUE"""),"生理男")</f>
        <v>生理男</v>
      </c>
      <c r="C8" s="1" t="str">
        <f ca="1">IFERROR(__xludf.DUMMYFUNCTION("""COMPUTED_VALUE"""),"26-30")</f>
        <v>26-30</v>
      </c>
      <c r="D8" s="1" t="str">
        <f ca="1">IFERROR(__xludf.DUMMYFUNCTION("""COMPUTED_VALUE"""),"桃園市")</f>
        <v>桃園市</v>
      </c>
      <c r="E8" s="1" t="str">
        <f ca="1">IFERROR(__xludf.DUMMYFUNCTION("""COMPUTED_VALUE"""),"電商")</f>
        <v>電商</v>
      </c>
      <c r="F8" s="3" t="e">
        <f t="array" aca="1" ref="F8:H8" ca="1">XLOOKUP(A8,'彼此影業 劇本盲測對象調查 - 盲測初選名單 (已自動連結)'!B:B,'彼此影業 劇本盲測對象調查 - 盲測初選名單 (已自動連結)'!H:J)</f>
        <v>#NAME?</v>
      </c>
      <c r="G8" s="1" t="e">
        <f ca="1"/>
        <v>#NAME?</v>
      </c>
      <c r="H8" s="1" t="e">
        <f ca="1"/>
        <v>#NAME?</v>
      </c>
      <c r="I8" s="4" t="e">
        <f t="array" aca="1" ref="I8:AI8" ca="1">XLOOKUP(A8,#REF!,#REF!)</f>
        <v>#NAME?</v>
      </c>
      <c r="J8" s="1" t="e">
        <f ca="1"/>
        <v>#NAME?</v>
      </c>
      <c r="K8" s="1" t="e">
        <f ca="1"/>
        <v>#NAME?</v>
      </c>
      <c r="L8" s="1" t="e">
        <f ca="1"/>
        <v>#NAME?</v>
      </c>
      <c r="M8" s="1" t="e">
        <f ca="1"/>
        <v>#NAME?</v>
      </c>
      <c r="N8" s="1" t="e">
        <f ca="1"/>
        <v>#NAME?</v>
      </c>
      <c r="O8" s="1" t="e">
        <f ca="1"/>
        <v>#NAME?</v>
      </c>
      <c r="P8" s="1" t="e">
        <f ca="1"/>
        <v>#NAME?</v>
      </c>
      <c r="Q8" s="1" t="e">
        <f ca="1"/>
        <v>#NAME?</v>
      </c>
      <c r="R8" s="1" t="e">
        <f ca="1"/>
        <v>#NAME?</v>
      </c>
      <c r="S8" s="1" t="e">
        <f ca="1"/>
        <v>#NAME?</v>
      </c>
      <c r="T8" s="1" t="e">
        <f ca="1"/>
        <v>#NAME?</v>
      </c>
      <c r="U8" s="1" t="e">
        <f ca="1"/>
        <v>#NAME?</v>
      </c>
      <c r="V8" s="1" t="e">
        <f ca="1"/>
        <v>#NAME?</v>
      </c>
      <c r="W8" s="1" t="e">
        <f ca="1"/>
        <v>#NAME?</v>
      </c>
      <c r="X8" s="1" t="e">
        <f ca="1"/>
        <v>#NAME?</v>
      </c>
      <c r="Y8" s="1" t="e">
        <f ca="1"/>
        <v>#NAME?</v>
      </c>
      <c r="Z8" s="1" t="e">
        <f ca="1"/>
        <v>#NAME?</v>
      </c>
      <c r="AA8" s="1" t="e">
        <f ca="1"/>
        <v>#NAME?</v>
      </c>
      <c r="AB8" s="1" t="e">
        <f ca="1"/>
        <v>#NAME?</v>
      </c>
      <c r="AC8" s="1" t="e">
        <f ca="1"/>
        <v>#NAME?</v>
      </c>
      <c r="AD8" s="1" t="e">
        <f ca="1"/>
        <v>#NAME?</v>
      </c>
      <c r="AE8" s="1" t="e">
        <f ca="1"/>
        <v>#NAME?</v>
      </c>
      <c r="AF8" s="1" t="e">
        <f ca="1"/>
        <v>#NAME?</v>
      </c>
      <c r="AG8" s="1" t="e">
        <f ca="1"/>
        <v>#NAME?</v>
      </c>
      <c r="AH8" s="1" t="e">
        <f ca="1"/>
        <v>#NAME?</v>
      </c>
      <c r="AI8" s="1" t="e">
        <f ca="1"/>
        <v>#NAME?</v>
      </c>
    </row>
    <row r="9" spans="1:35" ht="22.5" customHeight="1" x14ac:dyDescent="0.15">
      <c r="A9" s="1" t="str">
        <f ca="1">IFERROR(__xludf.DUMMYFUNCTION("""COMPUTED_VALUE"""),"謝佩珊")</f>
        <v>謝佩珊</v>
      </c>
      <c r="B9" s="1" t="str">
        <f ca="1">IFERROR(__xludf.DUMMYFUNCTION("""COMPUTED_VALUE"""),"生理女")</f>
        <v>生理女</v>
      </c>
      <c r="C9" s="1" t="str">
        <f ca="1">IFERROR(__xludf.DUMMYFUNCTION("""COMPUTED_VALUE"""),"31-35")</f>
        <v>31-35</v>
      </c>
      <c r="D9" s="1" t="str">
        <f ca="1">IFERROR(__xludf.DUMMYFUNCTION("""COMPUTED_VALUE"""),"新北市")</f>
        <v>新北市</v>
      </c>
      <c r="E9" s="1" t="str">
        <f ca="1">IFERROR(__xludf.DUMMYFUNCTION("""COMPUTED_VALUE"""),"數位行銷")</f>
        <v>數位行銷</v>
      </c>
      <c r="F9" s="3" t="e">
        <f t="array" aca="1" ref="F9:H9" ca="1">XLOOKUP(A9,'彼此影業 劇本盲測對象調查 - 盲測初選名單 (已自動連結)'!B:B,'彼此影業 劇本盲測對象調查 - 盲測初選名單 (已自動連結)'!H:J)</f>
        <v>#NAME?</v>
      </c>
      <c r="G9" s="1" t="e">
        <f ca="1"/>
        <v>#NAME?</v>
      </c>
      <c r="H9" s="1" t="e">
        <f ca="1"/>
        <v>#NAME?</v>
      </c>
      <c r="I9" s="4" t="e">
        <f t="array" aca="1" ref="I9:AI9" ca="1">XLOOKUP(A9,#REF!,#REF!)</f>
        <v>#NAME?</v>
      </c>
      <c r="J9" s="1" t="e">
        <f ca="1"/>
        <v>#NAME?</v>
      </c>
      <c r="K9" s="1" t="e">
        <f ca="1"/>
        <v>#NAME?</v>
      </c>
      <c r="L9" s="1" t="e">
        <f ca="1"/>
        <v>#NAME?</v>
      </c>
      <c r="M9" s="1" t="e">
        <f ca="1"/>
        <v>#NAME?</v>
      </c>
      <c r="N9" s="1" t="e">
        <f ca="1"/>
        <v>#NAME?</v>
      </c>
      <c r="O9" s="1" t="e">
        <f ca="1"/>
        <v>#NAME?</v>
      </c>
      <c r="P9" s="1" t="e">
        <f ca="1"/>
        <v>#NAME?</v>
      </c>
      <c r="Q9" s="1" t="e">
        <f ca="1"/>
        <v>#NAME?</v>
      </c>
      <c r="R9" s="1" t="e">
        <f ca="1"/>
        <v>#NAME?</v>
      </c>
      <c r="S9" s="1" t="e">
        <f ca="1"/>
        <v>#NAME?</v>
      </c>
      <c r="T9" s="1" t="e">
        <f ca="1"/>
        <v>#NAME?</v>
      </c>
      <c r="U9" s="1" t="e">
        <f ca="1"/>
        <v>#NAME?</v>
      </c>
      <c r="V9" s="1" t="e">
        <f ca="1"/>
        <v>#NAME?</v>
      </c>
      <c r="W9" s="1" t="e">
        <f ca="1"/>
        <v>#NAME?</v>
      </c>
      <c r="X9" s="1" t="e">
        <f ca="1"/>
        <v>#NAME?</v>
      </c>
      <c r="Y9" s="1" t="e">
        <f ca="1"/>
        <v>#NAME?</v>
      </c>
      <c r="Z9" s="1" t="e">
        <f ca="1"/>
        <v>#NAME?</v>
      </c>
      <c r="AA9" s="1" t="e">
        <f ca="1"/>
        <v>#NAME?</v>
      </c>
      <c r="AB9" s="1" t="e">
        <f ca="1"/>
        <v>#NAME?</v>
      </c>
      <c r="AC9" s="1" t="e">
        <f ca="1"/>
        <v>#NAME?</v>
      </c>
      <c r="AD9" s="1" t="e">
        <f ca="1"/>
        <v>#NAME?</v>
      </c>
      <c r="AE9" s="1" t="e">
        <f ca="1"/>
        <v>#NAME?</v>
      </c>
      <c r="AF9" s="1" t="e">
        <f ca="1"/>
        <v>#NAME?</v>
      </c>
      <c r="AG9" s="1" t="e">
        <f ca="1"/>
        <v>#NAME?</v>
      </c>
      <c r="AH9" s="1" t="e">
        <f ca="1"/>
        <v>#NAME?</v>
      </c>
      <c r="AI9" s="1" t="e">
        <f ca="1"/>
        <v>#NAME?</v>
      </c>
    </row>
    <row r="10" spans="1:35" ht="22.5" customHeight="1" x14ac:dyDescent="0.15">
      <c r="A10" s="1" t="str">
        <f ca="1">IFERROR(__xludf.DUMMYFUNCTION("""COMPUTED_VALUE"""),"許若莉")</f>
        <v>許若莉</v>
      </c>
      <c r="B10" s="1" t="str">
        <f ca="1">IFERROR(__xludf.DUMMYFUNCTION("""COMPUTED_VALUE"""),"生理女")</f>
        <v>生理女</v>
      </c>
      <c r="C10" s="1" t="str">
        <f ca="1">IFERROR(__xludf.DUMMYFUNCTION("""COMPUTED_VALUE"""),"26-30")</f>
        <v>26-30</v>
      </c>
      <c r="D10" s="1" t="str">
        <f ca="1">IFERROR(__xludf.DUMMYFUNCTION("""COMPUTED_VALUE"""),"新北市")</f>
        <v>新北市</v>
      </c>
      <c r="E10" s="1" t="str">
        <f ca="1">IFERROR(__xludf.DUMMYFUNCTION("""COMPUTED_VALUE"""),"餐飲業")</f>
        <v>餐飲業</v>
      </c>
      <c r="F10" s="3" t="e">
        <f t="array" aca="1" ref="F10:H10" ca="1">XLOOKUP(A10,'彼此影業 劇本盲測對象調查 - 盲測初選名單 (已自動連結)'!B:B,'彼此影業 劇本盲測對象調查 - 盲測初選名單 (已自動連結)'!H:J)</f>
        <v>#NAME?</v>
      </c>
      <c r="G10" s="1" t="e">
        <f ca="1"/>
        <v>#NAME?</v>
      </c>
      <c r="H10" s="1" t="e">
        <f ca="1"/>
        <v>#NAME?</v>
      </c>
      <c r="I10" s="4" t="e">
        <f t="array" aca="1" ref="I10:AI10" ca="1">XLOOKUP(A10,#REF!,#REF!)</f>
        <v>#NAME?</v>
      </c>
      <c r="J10" s="1" t="e">
        <f ca="1"/>
        <v>#NAME?</v>
      </c>
      <c r="K10" s="1" t="e">
        <f ca="1"/>
        <v>#NAME?</v>
      </c>
      <c r="L10" s="1" t="e">
        <f ca="1"/>
        <v>#NAME?</v>
      </c>
      <c r="M10" s="1" t="e">
        <f ca="1"/>
        <v>#NAME?</v>
      </c>
      <c r="N10" s="1" t="e">
        <f ca="1"/>
        <v>#NAME?</v>
      </c>
      <c r="O10" s="1" t="e">
        <f ca="1"/>
        <v>#NAME?</v>
      </c>
      <c r="P10" s="1" t="e">
        <f ca="1"/>
        <v>#NAME?</v>
      </c>
      <c r="Q10" s="1" t="e">
        <f ca="1"/>
        <v>#NAME?</v>
      </c>
      <c r="R10" s="1" t="e">
        <f ca="1"/>
        <v>#NAME?</v>
      </c>
      <c r="S10" s="1" t="e">
        <f ca="1"/>
        <v>#NAME?</v>
      </c>
      <c r="T10" s="1" t="e">
        <f ca="1"/>
        <v>#NAME?</v>
      </c>
      <c r="U10" s="1" t="e">
        <f ca="1"/>
        <v>#NAME?</v>
      </c>
      <c r="V10" s="1" t="e">
        <f ca="1"/>
        <v>#NAME?</v>
      </c>
      <c r="W10" s="1" t="e">
        <f ca="1"/>
        <v>#NAME?</v>
      </c>
      <c r="X10" s="1" t="e">
        <f ca="1"/>
        <v>#NAME?</v>
      </c>
      <c r="Y10" s="1" t="e">
        <f ca="1"/>
        <v>#NAME?</v>
      </c>
      <c r="Z10" s="1" t="e">
        <f ca="1"/>
        <v>#NAME?</v>
      </c>
      <c r="AA10" s="1" t="e">
        <f ca="1"/>
        <v>#NAME?</v>
      </c>
      <c r="AB10" s="1" t="e">
        <f ca="1"/>
        <v>#NAME?</v>
      </c>
      <c r="AC10" s="1" t="e">
        <f ca="1"/>
        <v>#NAME?</v>
      </c>
      <c r="AD10" s="1" t="e">
        <f ca="1"/>
        <v>#NAME?</v>
      </c>
      <c r="AE10" s="1" t="e">
        <f ca="1"/>
        <v>#NAME?</v>
      </c>
      <c r="AF10" s="1" t="e">
        <f ca="1"/>
        <v>#NAME?</v>
      </c>
      <c r="AG10" s="1" t="e">
        <f ca="1"/>
        <v>#NAME?</v>
      </c>
      <c r="AH10" s="1" t="e">
        <f ca="1"/>
        <v>#NAME?</v>
      </c>
      <c r="AI10" s="1" t="e">
        <f ca="1"/>
        <v>#NAME?</v>
      </c>
    </row>
    <row r="11" spans="1:35" ht="22.5" customHeight="1" x14ac:dyDescent="0.15">
      <c r="A11" s="1" t="str">
        <f ca="1">IFERROR(__xludf.DUMMYFUNCTION("""COMPUTED_VALUE"""),"林哲毅")</f>
        <v>林哲毅</v>
      </c>
      <c r="B11" s="1" t="str">
        <f ca="1">IFERROR(__xludf.DUMMYFUNCTION("""COMPUTED_VALUE"""),"生理男")</f>
        <v>生理男</v>
      </c>
      <c r="C11" s="1" t="str">
        <f ca="1">IFERROR(__xludf.DUMMYFUNCTION("""COMPUTED_VALUE"""),"26-30")</f>
        <v>26-30</v>
      </c>
      <c r="D11" s="1" t="str">
        <f ca="1">IFERROR(__xludf.DUMMYFUNCTION("""COMPUTED_VALUE"""),"臺北市")</f>
        <v>臺北市</v>
      </c>
      <c r="E11" s="1" t="str">
        <f ca="1">IFERROR(__xludf.DUMMYFUNCTION("""COMPUTED_VALUE"""),"醫療業")</f>
        <v>醫療業</v>
      </c>
      <c r="F11" s="3" t="e">
        <f t="array" aca="1" ref="F11:H11" ca="1">XLOOKUP(A11,'彼此影業 劇本盲測對象調查 - 盲測初選名單 (已自動連結)'!B:B,'彼此影業 劇本盲測對象調查 - 盲測初選名單 (已自動連結)'!H:J)</f>
        <v>#NAME?</v>
      </c>
      <c r="G11" s="1" t="e">
        <f ca="1"/>
        <v>#NAME?</v>
      </c>
      <c r="H11" s="1" t="e">
        <f ca="1"/>
        <v>#NAME?</v>
      </c>
      <c r="I11" s="4" t="e">
        <f t="array" aca="1" ref="I11:AI11" ca="1">XLOOKUP(A11,#REF!,#REF!)</f>
        <v>#NAME?</v>
      </c>
      <c r="J11" s="1" t="e">
        <f ca="1"/>
        <v>#NAME?</v>
      </c>
      <c r="K11" s="1" t="e">
        <f ca="1"/>
        <v>#NAME?</v>
      </c>
      <c r="L11" s="1" t="e">
        <f ca="1"/>
        <v>#NAME?</v>
      </c>
      <c r="M11" s="1" t="e">
        <f ca="1"/>
        <v>#NAME?</v>
      </c>
      <c r="N11" s="1" t="e">
        <f ca="1"/>
        <v>#NAME?</v>
      </c>
      <c r="O11" s="1" t="e">
        <f ca="1"/>
        <v>#NAME?</v>
      </c>
      <c r="P11" s="1" t="e">
        <f ca="1"/>
        <v>#NAME?</v>
      </c>
      <c r="Q11" s="1" t="e">
        <f ca="1"/>
        <v>#NAME?</v>
      </c>
      <c r="R11" s="1" t="e">
        <f ca="1"/>
        <v>#NAME?</v>
      </c>
      <c r="S11" s="1" t="e">
        <f ca="1"/>
        <v>#NAME?</v>
      </c>
      <c r="T11" s="1" t="e">
        <f ca="1"/>
        <v>#NAME?</v>
      </c>
      <c r="U11" s="1" t="e">
        <f ca="1"/>
        <v>#NAME?</v>
      </c>
      <c r="V11" s="1" t="e">
        <f ca="1"/>
        <v>#NAME?</v>
      </c>
      <c r="W11" s="1" t="e">
        <f ca="1"/>
        <v>#NAME?</v>
      </c>
      <c r="X11" s="1" t="e">
        <f ca="1"/>
        <v>#NAME?</v>
      </c>
      <c r="Y11" s="1" t="e">
        <f ca="1"/>
        <v>#NAME?</v>
      </c>
      <c r="Z11" s="1" t="e">
        <f ca="1"/>
        <v>#NAME?</v>
      </c>
      <c r="AA11" s="1" t="e">
        <f ca="1"/>
        <v>#NAME?</v>
      </c>
      <c r="AB11" s="1" t="e">
        <f ca="1"/>
        <v>#NAME?</v>
      </c>
      <c r="AC11" s="1" t="e">
        <f ca="1"/>
        <v>#NAME?</v>
      </c>
      <c r="AD11" s="1" t="e">
        <f ca="1"/>
        <v>#NAME?</v>
      </c>
      <c r="AE11" s="1" t="e">
        <f ca="1"/>
        <v>#NAME?</v>
      </c>
      <c r="AF11" s="1" t="e">
        <f ca="1"/>
        <v>#NAME?</v>
      </c>
      <c r="AG11" s="1" t="e">
        <f ca="1"/>
        <v>#NAME?</v>
      </c>
      <c r="AH11" s="1" t="e">
        <f ca="1"/>
        <v>#NAME?</v>
      </c>
      <c r="AI11" s="1" t="e">
        <f ca="1"/>
        <v>#NAME?</v>
      </c>
    </row>
    <row r="12" spans="1:35" ht="22.5" customHeight="1" x14ac:dyDescent="0.15">
      <c r="A12" s="1" t="str">
        <f ca="1">IFERROR(__xludf.DUMMYFUNCTION("""COMPUTED_VALUE"""),"許偉康")</f>
        <v>許偉康</v>
      </c>
      <c r="B12" s="1" t="str">
        <f ca="1">IFERROR(__xludf.DUMMYFUNCTION("""COMPUTED_VALUE"""),"生理男")</f>
        <v>生理男</v>
      </c>
      <c r="C12" s="1" t="str">
        <f ca="1">IFERROR(__xludf.DUMMYFUNCTION("""COMPUTED_VALUE"""),"36-40")</f>
        <v>36-40</v>
      </c>
      <c r="D12" s="1" t="str">
        <f ca="1">IFERROR(__xludf.DUMMYFUNCTION("""COMPUTED_VALUE"""),"桃園市")</f>
        <v>桃園市</v>
      </c>
      <c r="E12" s="1" t="str">
        <f ca="1">IFERROR(__xludf.DUMMYFUNCTION("""COMPUTED_VALUE"""),"工程師")</f>
        <v>工程師</v>
      </c>
      <c r="F12" s="3" t="e">
        <f t="array" aca="1" ref="F12:H12" ca="1">XLOOKUP(A12,'彼此影業 劇本盲測對象調查 - 盲測初選名單 (已自動連結)'!B:B,'彼此影業 劇本盲測對象調查 - 盲測初選名單 (已自動連結)'!H:J)</f>
        <v>#NAME?</v>
      </c>
      <c r="G12" s="1" t="e">
        <f ca="1"/>
        <v>#NAME?</v>
      </c>
      <c r="H12" s="1" t="e">
        <f ca="1"/>
        <v>#NAME?</v>
      </c>
      <c r="I12" s="4" t="e">
        <f t="array" aca="1" ref="I12:AI12" ca="1">XLOOKUP(A12,#REF!,#REF!)</f>
        <v>#NAME?</v>
      </c>
      <c r="J12" s="1" t="e">
        <f ca="1"/>
        <v>#NAME?</v>
      </c>
      <c r="K12" s="1" t="e">
        <f ca="1"/>
        <v>#NAME?</v>
      </c>
      <c r="L12" s="1" t="e">
        <f ca="1"/>
        <v>#NAME?</v>
      </c>
      <c r="M12" s="1" t="e">
        <f ca="1"/>
        <v>#NAME?</v>
      </c>
      <c r="N12" s="1" t="e">
        <f ca="1"/>
        <v>#NAME?</v>
      </c>
      <c r="O12" s="1" t="e">
        <f ca="1"/>
        <v>#NAME?</v>
      </c>
      <c r="P12" s="1" t="e">
        <f ca="1"/>
        <v>#NAME?</v>
      </c>
      <c r="Q12" s="1" t="e">
        <f ca="1"/>
        <v>#NAME?</v>
      </c>
      <c r="R12" s="1" t="e">
        <f ca="1"/>
        <v>#NAME?</v>
      </c>
      <c r="S12" s="1" t="e">
        <f ca="1"/>
        <v>#NAME?</v>
      </c>
      <c r="T12" s="1" t="e">
        <f ca="1"/>
        <v>#NAME?</v>
      </c>
      <c r="U12" s="1" t="e">
        <f ca="1"/>
        <v>#NAME?</v>
      </c>
      <c r="V12" s="1" t="e">
        <f ca="1"/>
        <v>#NAME?</v>
      </c>
      <c r="W12" s="1" t="e">
        <f ca="1"/>
        <v>#NAME?</v>
      </c>
      <c r="X12" s="1" t="e">
        <f ca="1"/>
        <v>#NAME?</v>
      </c>
      <c r="Y12" s="1" t="e">
        <f ca="1"/>
        <v>#NAME?</v>
      </c>
      <c r="Z12" s="1" t="e">
        <f ca="1"/>
        <v>#NAME?</v>
      </c>
      <c r="AA12" s="1" t="e">
        <f ca="1"/>
        <v>#NAME?</v>
      </c>
      <c r="AB12" s="1" t="e">
        <f ca="1"/>
        <v>#NAME?</v>
      </c>
      <c r="AC12" s="1" t="e">
        <f ca="1"/>
        <v>#NAME?</v>
      </c>
      <c r="AD12" s="1" t="e">
        <f ca="1"/>
        <v>#NAME?</v>
      </c>
      <c r="AE12" s="1" t="e">
        <f ca="1"/>
        <v>#NAME?</v>
      </c>
      <c r="AF12" s="1" t="e">
        <f ca="1"/>
        <v>#NAME?</v>
      </c>
      <c r="AG12" s="1" t="e">
        <f ca="1"/>
        <v>#NAME?</v>
      </c>
      <c r="AH12" s="1" t="e">
        <f ca="1"/>
        <v>#NAME?</v>
      </c>
      <c r="AI12" s="1" t="e">
        <f ca="1"/>
        <v>#NAME?</v>
      </c>
    </row>
    <row r="13" spans="1:35" ht="22.5" customHeight="1" x14ac:dyDescent="0.15">
      <c r="A13" s="1" t="str">
        <f ca="1">IFERROR(__xludf.DUMMYFUNCTION("""COMPUTED_VALUE"""),"謝麗菁")</f>
        <v>謝麗菁</v>
      </c>
      <c r="B13" s="1" t="str">
        <f ca="1">IFERROR(__xludf.DUMMYFUNCTION("""COMPUTED_VALUE"""),"生理女")</f>
        <v>生理女</v>
      </c>
      <c r="C13" s="1" t="str">
        <f ca="1">IFERROR(__xludf.DUMMYFUNCTION("""COMPUTED_VALUE"""),"41-45")</f>
        <v>41-45</v>
      </c>
      <c r="D13" s="1" t="str">
        <f ca="1">IFERROR(__xludf.DUMMYFUNCTION("""COMPUTED_VALUE"""),"新北市")</f>
        <v>新北市</v>
      </c>
      <c r="E13" s="1" t="str">
        <f ca="1">IFERROR(__xludf.DUMMYFUNCTION("""COMPUTED_VALUE"""),"自由接案（娛樂唱片）")</f>
        <v>自由接案（娛樂唱片）</v>
      </c>
      <c r="F13" s="3" t="e">
        <f t="array" aca="1" ref="F13:H13" ca="1">XLOOKUP(A13,'彼此影業 劇本盲測對象調查 - 盲測初選名單 (已自動連結)'!B:B,'彼此影業 劇本盲測對象調查 - 盲測初選名單 (已自動連結)'!H:J)</f>
        <v>#NAME?</v>
      </c>
      <c r="G13" s="1" t="e">
        <f ca="1"/>
        <v>#NAME?</v>
      </c>
      <c r="H13" s="1" t="e">
        <f ca="1"/>
        <v>#NAME?</v>
      </c>
      <c r="I13" s="4" t="e">
        <f t="array" aca="1" ref="I13:AI13" ca="1">XLOOKUP(A13,#REF!,#REF!)</f>
        <v>#NAME?</v>
      </c>
      <c r="J13" s="1" t="e">
        <f ca="1"/>
        <v>#NAME?</v>
      </c>
      <c r="K13" s="1" t="e">
        <f ca="1"/>
        <v>#NAME?</v>
      </c>
      <c r="L13" s="1" t="e">
        <f ca="1"/>
        <v>#NAME?</v>
      </c>
      <c r="M13" s="1" t="e">
        <f ca="1"/>
        <v>#NAME?</v>
      </c>
      <c r="N13" s="1" t="e">
        <f ca="1"/>
        <v>#NAME?</v>
      </c>
      <c r="O13" s="1" t="e">
        <f ca="1"/>
        <v>#NAME?</v>
      </c>
      <c r="P13" s="1" t="e">
        <f ca="1"/>
        <v>#NAME?</v>
      </c>
      <c r="Q13" s="1" t="e">
        <f ca="1"/>
        <v>#NAME?</v>
      </c>
      <c r="R13" s="1" t="e">
        <f ca="1"/>
        <v>#NAME?</v>
      </c>
      <c r="S13" s="1" t="e">
        <f ca="1"/>
        <v>#NAME?</v>
      </c>
      <c r="T13" s="1" t="e">
        <f ca="1"/>
        <v>#NAME?</v>
      </c>
      <c r="U13" s="1" t="e">
        <f ca="1"/>
        <v>#NAME?</v>
      </c>
      <c r="V13" s="1" t="e">
        <f ca="1"/>
        <v>#NAME?</v>
      </c>
      <c r="W13" s="1" t="e">
        <f ca="1"/>
        <v>#NAME?</v>
      </c>
      <c r="X13" s="1" t="e">
        <f ca="1"/>
        <v>#NAME?</v>
      </c>
      <c r="Y13" s="1" t="e">
        <f ca="1"/>
        <v>#NAME?</v>
      </c>
      <c r="Z13" s="1" t="e">
        <f ca="1"/>
        <v>#NAME?</v>
      </c>
      <c r="AA13" s="1" t="e">
        <f ca="1"/>
        <v>#NAME?</v>
      </c>
      <c r="AB13" s="1" t="e">
        <f ca="1"/>
        <v>#NAME?</v>
      </c>
      <c r="AC13" s="1" t="e">
        <f ca="1"/>
        <v>#NAME?</v>
      </c>
      <c r="AD13" s="1" t="e">
        <f ca="1"/>
        <v>#NAME?</v>
      </c>
      <c r="AE13" s="1" t="e">
        <f ca="1"/>
        <v>#NAME?</v>
      </c>
      <c r="AF13" s="1" t="e">
        <f ca="1"/>
        <v>#NAME?</v>
      </c>
      <c r="AG13" s="1" t="e">
        <f ca="1"/>
        <v>#NAME?</v>
      </c>
      <c r="AH13" s="1" t="e">
        <f ca="1"/>
        <v>#NAME?</v>
      </c>
      <c r="AI13" s="1" t="e">
        <f ca="1"/>
        <v>#NAME?</v>
      </c>
    </row>
    <row r="14" spans="1:35" ht="22.5" customHeight="1" x14ac:dyDescent="0.15">
      <c r="A14" s="1" t="str">
        <f ca="1">IFERROR(__xludf.DUMMYFUNCTION("""COMPUTED_VALUE"""),"原詩涵")</f>
        <v>原詩涵</v>
      </c>
      <c r="B14" s="1" t="str">
        <f ca="1">IFERROR(__xludf.DUMMYFUNCTION("""COMPUTED_VALUE"""),"生理女")</f>
        <v>生理女</v>
      </c>
      <c r="C14" s="1" t="str">
        <f ca="1">IFERROR(__xludf.DUMMYFUNCTION("""COMPUTED_VALUE"""),"31-35")</f>
        <v>31-35</v>
      </c>
      <c r="D14" s="1" t="str">
        <f ca="1">IFERROR(__xludf.DUMMYFUNCTION("""COMPUTED_VALUE"""),"桃園市")</f>
        <v>桃園市</v>
      </c>
      <c r="E14" s="1" t="str">
        <f ca="1">IFERROR(__xludf.DUMMYFUNCTION("""COMPUTED_VALUE"""),"線上課程、數位內容產業")</f>
        <v>線上課程、數位內容產業</v>
      </c>
      <c r="F14" s="3" t="e">
        <f t="array" aca="1" ref="F14:H14" ca="1">XLOOKUP(A14,'彼此影業 劇本盲測對象調查 - 盲測初選名單 (已自動連結)'!B:B,'彼此影業 劇本盲測對象調查 - 盲測初選名單 (已自動連結)'!H:J)</f>
        <v>#NAME?</v>
      </c>
      <c r="G14" s="1" t="e">
        <f ca="1"/>
        <v>#NAME?</v>
      </c>
      <c r="H14" s="1" t="e">
        <f ca="1"/>
        <v>#NAME?</v>
      </c>
      <c r="I14" s="4" t="e">
        <f t="array" aca="1" ref="I14:AI14" ca="1">XLOOKUP(A14,#REF!,#REF!)</f>
        <v>#NAME?</v>
      </c>
      <c r="J14" s="1" t="e">
        <f ca="1"/>
        <v>#NAME?</v>
      </c>
      <c r="K14" s="1" t="e">
        <f ca="1"/>
        <v>#NAME?</v>
      </c>
      <c r="L14" s="1" t="e">
        <f ca="1"/>
        <v>#NAME?</v>
      </c>
      <c r="M14" s="1" t="e">
        <f ca="1"/>
        <v>#NAME?</v>
      </c>
      <c r="N14" s="1" t="e">
        <f ca="1"/>
        <v>#NAME?</v>
      </c>
      <c r="O14" s="1" t="e">
        <f ca="1"/>
        <v>#NAME?</v>
      </c>
      <c r="P14" s="1" t="e">
        <f ca="1"/>
        <v>#NAME?</v>
      </c>
      <c r="Q14" s="1" t="e">
        <f ca="1"/>
        <v>#NAME?</v>
      </c>
      <c r="R14" s="1" t="e">
        <f ca="1"/>
        <v>#NAME?</v>
      </c>
      <c r="S14" s="1" t="e">
        <f ca="1"/>
        <v>#NAME?</v>
      </c>
      <c r="T14" s="1" t="e">
        <f ca="1"/>
        <v>#NAME?</v>
      </c>
      <c r="U14" s="1" t="e">
        <f ca="1"/>
        <v>#NAME?</v>
      </c>
      <c r="V14" s="1" t="e">
        <f ca="1"/>
        <v>#NAME?</v>
      </c>
      <c r="W14" s="1" t="e">
        <f ca="1"/>
        <v>#NAME?</v>
      </c>
      <c r="X14" s="1" t="e">
        <f ca="1"/>
        <v>#NAME?</v>
      </c>
      <c r="Y14" s="1" t="e">
        <f ca="1"/>
        <v>#NAME?</v>
      </c>
      <c r="Z14" s="1" t="e">
        <f ca="1"/>
        <v>#NAME?</v>
      </c>
      <c r="AA14" s="1" t="e">
        <f ca="1"/>
        <v>#NAME?</v>
      </c>
      <c r="AB14" s="1" t="e">
        <f ca="1"/>
        <v>#NAME?</v>
      </c>
      <c r="AC14" s="1" t="e">
        <f ca="1"/>
        <v>#NAME?</v>
      </c>
      <c r="AD14" s="1" t="e">
        <f ca="1"/>
        <v>#NAME?</v>
      </c>
      <c r="AE14" s="1" t="e">
        <f ca="1"/>
        <v>#NAME?</v>
      </c>
      <c r="AF14" s="1" t="e">
        <f ca="1"/>
        <v>#NAME?</v>
      </c>
      <c r="AG14" s="1" t="e">
        <f ca="1"/>
        <v>#NAME?</v>
      </c>
      <c r="AH14" s="1" t="e">
        <f ca="1"/>
        <v>#NAME?</v>
      </c>
      <c r="AI14" s="1" t="e">
        <f ca="1"/>
        <v>#NAME?</v>
      </c>
    </row>
    <row r="15" spans="1:35" ht="22.5" customHeight="1" x14ac:dyDescent="0.15">
      <c r="A15" s="1" t="str">
        <f ca="1">IFERROR(__xludf.DUMMYFUNCTION("""COMPUTED_VALUE"""),"王羿涵")</f>
        <v>王羿涵</v>
      </c>
      <c r="B15" s="1" t="str">
        <f ca="1">IFERROR(__xludf.DUMMYFUNCTION("""COMPUTED_VALUE"""),"生理女")</f>
        <v>生理女</v>
      </c>
      <c r="C15" s="1" t="str">
        <f ca="1">IFERROR(__xludf.DUMMYFUNCTION("""COMPUTED_VALUE"""),"26-30")</f>
        <v>26-30</v>
      </c>
      <c r="D15" s="1" t="str">
        <f ca="1">IFERROR(__xludf.DUMMYFUNCTION("""COMPUTED_VALUE"""),"臺北市")</f>
        <v>臺北市</v>
      </c>
      <c r="E15" s="1" t="str">
        <f ca="1">IFERROR(__xludf.DUMMYFUNCTION("""COMPUTED_VALUE"""),"法律服務業")</f>
        <v>法律服務業</v>
      </c>
      <c r="F15" s="3" t="e">
        <f t="array" aca="1" ref="F15:H15" ca="1">XLOOKUP(A15,'彼此影業 劇本盲測對象調查 - 盲測初選名單 (已自動連結)'!B:B,'彼此影業 劇本盲測對象調查 - 盲測初選名單 (已自動連結)'!H:J)</f>
        <v>#NAME?</v>
      </c>
      <c r="G15" s="1" t="e">
        <f ca="1"/>
        <v>#NAME?</v>
      </c>
      <c r="H15" s="1" t="e">
        <f ca="1"/>
        <v>#NAME?</v>
      </c>
      <c r="I15" s="4" t="e">
        <f t="array" aca="1" ref="I15:AI15" ca="1">XLOOKUP(A15,#REF!,#REF!)</f>
        <v>#NAME?</v>
      </c>
      <c r="J15" s="1" t="e">
        <f ca="1"/>
        <v>#NAME?</v>
      </c>
      <c r="K15" s="1" t="e">
        <f ca="1"/>
        <v>#NAME?</v>
      </c>
      <c r="L15" s="1" t="e">
        <f ca="1"/>
        <v>#NAME?</v>
      </c>
      <c r="M15" s="1" t="e">
        <f ca="1"/>
        <v>#NAME?</v>
      </c>
      <c r="N15" s="1" t="e">
        <f ca="1"/>
        <v>#NAME?</v>
      </c>
      <c r="O15" s="1" t="e">
        <f ca="1"/>
        <v>#NAME?</v>
      </c>
      <c r="P15" s="1" t="e">
        <f ca="1"/>
        <v>#NAME?</v>
      </c>
      <c r="Q15" s="1" t="e">
        <f ca="1"/>
        <v>#NAME?</v>
      </c>
      <c r="R15" s="1" t="e">
        <f ca="1"/>
        <v>#NAME?</v>
      </c>
      <c r="S15" s="1" t="e">
        <f ca="1"/>
        <v>#NAME?</v>
      </c>
      <c r="T15" s="1" t="e">
        <f ca="1"/>
        <v>#NAME?</v>
      </c>
      <c r="U15" s="1" t="e">
        <f ca="1"/>
        <v>#NAME?</v>
      </c>
      <c r="V15" s="1" t="e">
        <f ca="1"/>
        <v>#NAME?</v>
      </c>
      <c r="W15" s="1" t="e">
        <f ca="1"/>
        <v>#NAME?</v>
      </c>
      <c r="X15" s="1" t="e">
        <f ca="1"/>
        <v>#NAME?</v>
      </c>
      <c r="Y15" s="1" t="e">
        <f ca="1"/>
        <v>#NAME?</v>
      </c>
      <c r="Z15" s="1" t="e">
        <f ca="1"/>
        <v>#NAME?</v>
      </c>
      <c r="AA15" s="1" t="e">
        <f ca="1"/>
        <v>#NAME?</v>
      </c>
      <c r="AB15" s="1" t="e">
        <f ca="1"/>
        <v>#NAME?</v>
      </c>
      <c r="AC15" s="1" t="e">
        <f ca="1"/>
        <v>#NAME?</v>
      </c>
      <c r="AD15" s="1" t="e">
        <f ca="1"/>
        <v>#NAME?</v>
      </c>
      <c r="AE15" s="1" t="e">
        <f ca="1"/>
        <v>#NAME?</v>
      </c>
      <c r="AF15" s="1" t="e">
        <f ca="1"/>
        <v>#NAME?</v>
      </c>
      <c r="AG15" s="1" t="e">
        <f ca="1"/>
        <v>#NAME?</v>
      </c>
      <c r="AH15" s="1" t="e">
        <f ca="1"/>
        <v>#NAME?</v>
      </c>
      <c r="AI15" s="1" t="e">
        <f ca="1"/>
        <v>#NAME?</v>
      </c>
    </row>
    <row r="16" spans="1:35" ht="22.5" customHeight="1" x14ac:dyDescent="0.15">
      <c r="A16" s="1" t="str">
        <f ca="1">IFERROR(__xludf.DUMMYFUNCTION("""COMPUTED_VALUE"""),"林冠邦")</f>
        <v>林冠邦</v>
      </c>
      <c r="B16" s="1" t="str">
        <f ca="1">IFERROR(__xludf.DUMMYFUNCTION("""COMPUTED_VALUE"""),"生理男")</f>
        <v>生理男</v>
      </c>
      <c r="C16" s="1" t="str">
        <f ca="1">IFERROR(__xludf.DUMMYFUNCTION("""COMPUTED_VALUE"""),"41-45")</f>
        <v>41-45</v>
      </c>
      <c r="D16" s="1" t="str">
        <f ca="1">IFERROR(__xludf.DUMMYFUNCTION("""COMPUTED_VALUE"""),"臺北市")</f>
        <v>臺北市</v>
      </c>
      <c r="E16" s="1" t="str">
        <f ca="1">IFERROR(__xludf.DUMMYFUNCTION("""COMPUTED_VALUE"""),"國際貿易+餐廚用品設計製造業 / 國際企業系+機械系")</f>
        <v>國際貿易+餐廚用品設計製造業 / 國際企業系+機械系</v>
      </c>
      <c r="F16" s="3" t="e">
        <f t="array" aca="1" ref="F16:H16" ca="1">XLOOKUP(A16,'彼此影業 劇本盲測對象調查 - 盲測初選名單 (已自動連結)'!B:B,'彼此影業 劇本盲測對象調查 - 盲測初選名單 (已自動連結)'!H:J)</f>
        <v>#NAME?</v>
      </c>
      <c r="G16" s="1" t="e">
        <f ca="1"/>
        <v>#NAME?</v>
      </c>
      <c r="H16" s="1" t="e">
        <f ca="1"/>
        <v>#NAME?</v>
      </c>
      <c r="I16" s="4" t="e">
        <f t="array" aca="1" ref="I16:AI16" ca="1">XLOOKUP(A16,#REF!,#REF!)</f>
        <v>#NAME?</v>
      </c>
      <c r="J16" s="1" t="e">
        <f ca="1"/>
        <v>#NAME?</v>
      </c>
      <c r="K16" s="1" t="e">
        <f ca="1"/>
        <v>#NAME?</v>
      </c>
      <c r="L16" s="1" t="e">
        <f ca="1"/>
        <v>#NAME?</v>
      </c>
      <c r="M16" s="1" t="e">
        <f ca="1"/>
        <v>#NAME?</v>
      </c>
      <c r="N16" s="1" t="e">
        <f ca="1"/>
        <v>#NAME?</v>
      </c>
      <c r="O16" s="1" t="e">
        <f ca="1"/>
        <v>#NAME?</v>
      </c>
      <c r="P16" s="1" t="e">
        <f ca="1"/>
        <v>#NAME?</v>
      </c>
      <c r="Q16" s="1" t="e">
        <f ca="1"/>
        <v>#NAME?</v>
      </c>
      <c r="R16" s="1" t="e">
        <f ca="1"/>
        <v>#NAME?</v>
      </c>
      <c r="S16" s="7" t="e">
        <f ca="1"/>
        <v>#NAME?</v>
      </c>
      <c r="T16" s="1" t="e">
        <f ca="1"/>
        <v>#NAME?</v>
      </c>
      <c r="U16" s="7" t="e">
        <f ca="1"/>
        <v>#NAME?</v>
      </c>
      <c r="V16" s="1" t="e">
        <f ca="1"/>
        <v>#NAME?</v>
      </c>
      <c r="W16" s="1" t="e">
        <f ca="1"/>
        <v>#NAME?</v>
      </c>
      <c r="X16" s="1" t="e">
        <f ca="1"/>
        <v>#NAME?</v>
      </c>
      <c r="Y16" s="1" t="e">
        <f ca="1"/>
        <v>#NAME?</v>
      </c>
      <c r="Z16" s="1" t="e">
        <f ca="1"/>
        <v>#NAME?</v>
      </c>
      <c r="AA16" s="1" t="e">
        <f ca="1"/>
        <v>#NAME?</v>
      </c>
      <c r="AB16" s="1" t="e">
        <f ca="1"/>
        <v>#NAME?</v>
      </c>
      <c r="AC16" s="1" t="e">
        <f ca="1"/>
        <v>#NAME?</v>
      </c>
      <c r="AD16" s="1" t="e">
        <f ca="1"/>
        <v>#NAME?</v>
      </c>
      <c r="AE16" s="1" t="e">
        <f ca="1"/>
        <v>#NAME?</v>
      </c>
      <c r="AF16" s="1" t="e">
        <f ca="1"/>
        <v>#NAME?</v>
      </c>
      <c r="AG16" s="1" t="e">
        <f ca="1"/>
        <v>#NAME?</v>
      </c>
      <c r="AH16" s="1" t="e">
        <f ca="1"/>
        <v>#NAME?</v>
      </c>
      <c r="AI16" s="1" t="e">
        <f ca="1"/>
        <v>#NAME?</v>
      </c>
    </row>
    <row r="17" spans="1:35" ht="22.5" customHeight="1" x14ac:dyDescent="0.15">
      <c r="A17" s="1" t="str">
        <f ca="1">IFERROR(__xludf.DUMMYFUNCTION("""COMPUTED_VALUE"""),"徐仁恩")</f>
        <v>徐仁恩</v>
      </c>
      <c r="B17" s="1" t="str">
        <f ca="1">IFERROR(__xludf.DUMMYFUNCTION("""COMPUTED_VALUE"""),"生理男")</f>
        <v>生理男</v>
      </c>
      <c r="C17" s="1" t="str">
        <f ca="1">IFERROR(__xludf.DUMMYFUNCTION("""COMPUTED_VALUE"""),"41-45")</f>
        <v>41-45</v>
      </c>
      <c r="D17" s="1" t="str">
        <f ca="1">IFERROR(__xludf.DUMMYFUNCTION("""COMPUTED_VALUE"""),"臺北市")</f>
        <v>臺北市</v>
      </c>
      <c r="E17" s="1" t="str">
        <f ca="1">IFERROR(__xludf.DUMMYFUNCTION("""COMPUTED_VALUE"""),"營造業")</f>
        <v>營造業</v>
      </c>
      <c r="F17" s="3" t="e">
        <f t="array" aca="1" ref="F17:H17" ca="1">XLOOKUP(A17,'彼此影業 劇本盲測對象調查 - 盲測初選名單 (已自動連結)'!B:B,'彼此影業 劇本盲測對象調查 - 盲測初選名單 (已自動連結)'!H:J)</f>
        <v>#NAME?</v>
      </c>
      <c r="G17" s="1" t="e">
        <f ca="1"/>
        <v>#NAME?</v>
      </c>
      <c r="H17" s="1" t="e">
        <f ca="1"/>
        <v>#NAME?</v>
      </c>
      <c r="I17" s="4" t="e">
        <f t="array" aca="1" ref="I17:AI17" ca="1">XLOOKUP(A17,#REF!,#REF!)</f>
        <v>#NAME?</v>
      </c>
      <c r="J17" s="1" t="e">
        <f ca="1"/>
        <v>#NAME?</v>
      </c>
      <c r="K17" s="1" t="e">
        <f ca="1"/>
        <v>#NAME?</v>
      </c>
      <c r="L17" s="1" t="e">
        <f ca="1"/>
        <v>#NAME?</v>
      </c>
      <c r="M17" s="1" t="e">
        <f ca="1"/>
        <v>#NAME?</v>
      </c>
      <c r="N17" s="1" t="e">
        <f ca="1"/>
        <v>#NAME?</v>
      </c>
      <c r="O17" s="1" t="e">
        <f ca="1"/>
        <v>#NAME?</v>
      </c>
      <c r="P17" s="1" t="e">
        <f ca="1"/>
        <v>#NAME?</v>
      </c>
      <c r="Q17" s="1" t="e">
        <f ca="1"/>
        <v>#NAME?</v>
      </c>
      <c r="R17" s="1" t="e">
        <f ca="1"/>
        <v>#NAME?</v>
      </c>
      <c r="S17" s="1" t="e">
        <f ca="1"/>
        <v>#NAME?</v>
      </c>
      <c r="T17" s="1" t="e">
        <f ca="1"/>
        <v>#NAME?</v>
      </c>
      <c r="U17" s="1" t="e">
        <f ca="1"/>
        <v>#NAME?</v>
      </c>
      <c r="V17" s="1" t="e">
        <f ca="1"/>
        <v>#NAME?</v>
      </c>
      <c r="W17" s="1" t="e">
        <f ca="1"/>
        <v>#NAME?</v>
      </c>
      <c r="X17" s="1" t="e">
        <f ca="1"/>
        <v>#NAME?</v>
      </c>
      <c r="Y17" s="1" t="e">
        <f ca="1"/>
        <v>#NAME?</v>
      </c>
      <c r="Z17" s="1" t="e">
        <f ca="1"/>
        <v>#NAME?</v>
      </c>
      <c r="AA17" s="1" t="e">
        <f ca="1"/>
        <v>#NAME?</v>
      </c>
      <c r="AB17" s="1" t="e">
        <f ca="1"/>
        <v>#NAME?</v>
      </c>
      <c r="AC17" s="1" t="e">
        <f ca="1"/>
        <v>#NAME?</v>
      </c>
      <c r="AD17" s="1" t="e">
        <f ca="1"/>
        <v>#NAME?</v>
      </c>
      <c r="AE17" s="1" t="e">
        <f ca="1"/>
        <v>#NAME?</v>
      </c>
      <c r="AF17" s="1" t="e">
        <f ca="1"/>
        <v>#NAME?</v>
      </c>
      <c r="AG17" s="1" t="e">
        <f ca="1"/>
        <v>#NAME?</v>
      </c>
      <c r="AH17" s="1" t="e">
        <f ca="1"/>
        <v>#NAME?</v>
      </c>
      <c r="AI17" s="1" t="e">
        <f ca="1"/>
        <v>#NAME?</v>
      </c>
    </row>
    <row r="18" spans="1:35" ht="22.5" customHeight="1" x14ac:dyDescent="0.15">
      <c r="A18" s="1" t="str">
        <f ca="1">IFERROR(__xludf.DUMMYFUNCTION("""COMPUTED_VALUE"""),"莊字東")</f>
        <v>莊字東</v>
      </c>
      <c r="B18" s="1" t="str">
        <f ca="1">IFERROR(__xludf.DUMMYFUNCTION("""COMPUTED_VALUE"""),"生理男")</f>
        <v>生理男</v>
      </c>
      <c r="C18" s="1" t="str">
        <f ca="1">IFERROR(__xludf.DUMMYFUNCTION("""COMPUTED_VALUE"""),"21-25")</f>
        <v>21-25</v>
      </c>
      <c r="D18" s="1" t="str">
        <f ca="1">IFERROR(__xludf.DUMMYFUNCTION("""COMPUTED_VALUE"""),"新北市")</f>
        <v>新北市</v>
      </c>
      <c r="E18" s="1" t="str">
        <f ca="1">IFERROR(__xludf.DUMMYFUNCTION("""COMPUTED_VALUE"""),"哲學系")</f>
        <v>哲學系</v>
      </c>
      <c r="F18" s="3" t="e">
        <f t="array" aca="1" ref="F18:H18" ca="1">XLOOKUP(A18,'彼此影業 劇本盲測對象調查 - 盲測初選名單 (已自動連結)'!B:B,'彼此影業 劇本盲測對象調查 - 盲測初選名單 (已自動連結)'!H:J)</f>
        <v>#NAME?</v>
      </c>
      <c r="G18" s="1" t="e">
        <f ca="1"/>
        <v>#NAME?</v>
      </c>
      <c r="H18" s="1" t="e">
        <f ca="1"/>
        <v>#NAME?</v>
      </c>
      <c r="I18" s="4" t="e">
        <f t="array" aca="1" ref="I18:AI18" ca="1">XLOOKUP(A18,#REF!,#REF!)</f>
        <v>#NAME?</v>
      </c>
      <c r="J18" s="1" t="e">
        <f ca="1"/>
        <v>#NAME?</v>
      </c>
      <c r="K18" s="1" t="e">
        <f ca="1"/>
        <v>#NAME?</v>
      </c>
      <c r="L18" s="1" t="e">
        <f ca="1"/>
        <v>#NAME?</v>
      </c>
      <c r="M18" s="1" t="e">
        <f ca="1"/>
        <v>#NAME?</v>
      </c>
      <c r="N18" s="1" t="e">
        <f ca="1"/>
        <v>#NAME?</v>
      </c>
      <c r="O18" s="1" t="e">
        <f ca="1"/>
        <v>#NAME?</v>
      </c>
      <c r="P18" s="1" t="e">
        <f ca="1"/>
        <v>#NAME?</v>
      </c>
      <c r="Q18" s="1" t="e">
        <f ca="1"/>
        <v>#NAME?</v>
      </c>
      <c r="R18" s="1" t="e">
        <f ca="1"/>
        <v>#NAME?</v>
      </c>
      <c r="S18" s="1" t="e">
        <f ca="1"/>
        <v>#NAME?</v>
      </c>
      <c r="T18" s="1" t="e">
        <f ca="1"/>
        <v>#NAME?</v>
      </c>
      <c r="U18" s="1" t="e">
        <f ca="1"/>
        <v>#NAME?</v>
      </c>
      <c r="V18" s="1" t="e">
        <f ca="1"/>
        <v>#NAME?</v>
      </c>
      <c r="W18" s="1" t="e">
        <f ca="1"/>
        <v>#NAME?</v>
      </c>
      <c r="X18" s="1" t="e">
        <f ca="1"/>
        <v>#NAME?</v>
      </c>
      <c r="Y18" s="1" t="e">
        <f ca="1"/>
        <v>#NAME?</v>
      </c>
      <c r="Z18" s="1" t="e">
        <f ca="1"/>
        <v>#NAME?</v>
      </c>
      <c r="AA18" s="1" t="e">
        <f ca="1"/>
        <v>#NAME?</v>
      </c>
      <c r="AB18" s="1" t="e">
        <f ca="1"/>
        <v>#NAME?</v>
      </c>
      <c r="AC18" s="1" t="e">
        <f ca="1"/>
        <v>#NAME?</v>
      </c>
      <c r="AD18" s="1" t="e">
        <f ca="1"/>
        <v>#NAME?</v>
      </c>
      <c r="AE18" s="1" t="e">
        <f ca="1"/>
        <v>#NAME?</v>
      </c>
      <c r="AF18" s="1" t="e">
        <f ca="1"/>
        <v>#NAME?</v>
      </c>
      <c r="AG18" s="1" t="e">
        <f ca="1"/>
        <v>#NAME?</v>
      </c>
      <c r="AH18" s="1" t="e">
        <f ca="1"/>
        <v>#NAME?</v>
      </c>
      <c r="AI18" s="1" t="e">
        <f ca="1"/>
        <v>#NAME?</v>
      </c>
    </row>
    <row r="19" spans="1:35" ht="22.5" customHeight="1" x14ac:dyDescent="0.15">
      <c r="A19" s="1" t="str">
        <f ca="1">IFERROR(__xludf.DUMMYFUNCTION("""COMPUTED_VALUE"""),"李守治")</f>
        <v>李守治</v>
      </c>
      <c r="B19" s="1" t="str">
        <f ca="1">IFERROR(__xludf.DUMMYFUNCTION("""COMPUTED_VALUE"""),"生理男")</f>
        <v>生理男</v>
      </c>
      <c r="C19" s="1" t="str">
        <f ca="1">IFERROR(__xludf.DUMMYFUNCTION("""COMPUTED_VALUE"""),"26-30")</f>
        <v>26-30</v>
      </c>
      <c r="D19" s="1" t="str">
        <f ca="1">IFERROR(__xludf.DUMMYFUNCTION("""COMPUTED_VALUE"""),"新北市")</f>
        <v>新北市</v>
      </c>
      <c r="E19" s="1" t="str">
        <f ca="1">IFERROR(__xludf.DUMMYFUNCTION("""COMPUTED_VALUE"""),"集資／線上課程")</f>
        <v>集資／線上課程</v>
      </c>
      <c r="F19" s="3" t="e">
        <f t="array" aca="1" ref="F19:H19" ca="1">XLOOKUP(A19,'彼此影業 劇本盲測對象調查 - 盲測初選名單 (已自動連結)'!B:B,'彼此影業 劇本盲測對象調查 - 盲測初選名單 (已自動連結)'!H:J)</f>
        <v>#NAME?</v>
      </c>
      <c r="G19" s="1" t="e">
        <f ca="1"/>
        <v>#NAME?</v>
      </c>
      <c r="H19" s="1" t="e">
        <f ca="1"/>
        <v>#NAME?</v>
      </c>
      <c r="I19" s="4" t="e">
        <f t="array" aca="1" ref="I19:AI19" ca="1">XLOOKUP(A19,#REF!,#REF!)</f>
        <v>#NAME?</v>
      </c>
      <c r="J19" s="1" t="e">
        <f ca="1"/>
        <v>#NAME?</v>
      </c>
      <c r="K19" s="1" t="e">
        <f ca="1"/>
        <v>#NAME?</v>
      </c>
      <c r="L19" s="1" t="e">
        <f ca="1"/>
        <v>#NAME?</v>
      </c>
      <c r="M19" s="1" t="e">
        <f ca="1"/>
        <v>#NAME?</v>
      </c>
      <c r="N19" s="1" t="e">
        <f ca="1"/>
        <v>#NAME?</v>
      </c>
      <c r="O19" s="1" t="e">
        <f ca="1"/>
        <v>#NAME?</v>
      </c>
      <c r="P19" s="1" t="e">
        <f ca="1"/>
        <v>#NAME?</v>
      </c>
      <c r="Q19" s="1" t="e">
        <f ca="1"/>
        <v>#NAME?</v>
      </c>
      <c r="R19" s="1" t="e">
        <f ca="1"/>
        <v>#NAME?</v>
      </c>
      <c r="S19" s="1" t="e">
        <f ca="1"/>
        <v>#NAME?</v>
      </c>
      <c r="T19" s="1" t="e">
        <f ca="1"/>
        <v>#NAME?</v>
      </c>
      <c r="U19" s="1" t="e">
        <f ca="1"/>
        <v>#NAME?</v>
      </c>
      <c r="V19" s="1" t="e">
        <f ca="1"/>
        <v>#NAME?</v>
      </c>
      <c r="W19" s="1" t="e">
        <f ca="1"/>
        <v>#NAME?</v>
      </c>
      <c r="X19" s="1" t="e">
        <f ca="1"/>
        <v>#NAME?</v>
      </c>
      <c r="Y19" s="1" t="e">
        <f ca="1"/>
        <v>#NAME?</v>
      </c>
      <c r="Z19" s="1" t="e">
        <f ca="1"/>
        <v>#NAME?</v>
      </c>
      <c r="AA19" s="1" t="e">
        <f ca="1"/>
        <v>#NAME?</v>
      </c>
      <c r="AB19" s="1" t="e">
        <f ca="1"/>
        <v>#NAME?</v>
      </c>
      <c r="AC19" s="1" t="e">
        <f ca="1"/>
        <v>#NAME?</v>
      </c>
      <c r="AD19" s="1" t="e">
        <f ca="1"/>
        <v>#NAME?</v>
      </c>
      <c r="AE19" s="1" t="e">
        <f ca="1"/>
        <v>#NAME?</v>
      </c>
      <c r="AF19" s="1" t="e">
        <f ca="1"/>
        <v>#NAME?</v>
      </c>
      <c r="AG19" s="1" t="e">
        <f ca="1"/>
        <v>#NAME?</v>
      </c>
      <c r="AH19" s="1" t="e">
        <f ca="1"/>
        <v>#NAME?</v>
      </c>
      <c r="AI19" s="1" t="e">
        <f ca="1"/>
        <v>#NAME?</v>
      </c>
    </row>
    <row r="20" spans="1:35" ht="22.5" customHeight="1" x14ac:dyDescent="0.15">
      <c r="A20" s="1" t="str">
        <f ca="1">IFERROR(__xludf.DUMMYFUNCTION("""COMPUTED_VALUE"""),"吳幼雯")</f>
        <v>吳幼雯</v>
      </c>
      <c r="B20" s="1" t="str">
        <f ca="1">IFERROR(__xludf.DUMMYFUNCTION("""COMPUTED_VALUE"""),"生理女")</f>
        <v>生理女</v>
      </c>
      <c r="C20" s="1" t="str">
        <f ca="1">IFERROR(__xludf.DUMMYFUNCTION("""COMPUTED_VALUE"""),"46-50")</f>
        <v>46-50</v>
      </c>
      <c r="D20" s="1" t="str">
        <f ca="1">IFERROR(__xludf.DUMMYFUNCTION("""COMPUTED_VALUE"""),"新北市")</f>
        <v>新北市</v>
      </c>
      <c r="E20" s="1" t="str">
        <f ca="1">IFERROR(__xludf.DUMMYFUNCTION("""COMPUTED_VALUE"""),"手工藝工作室")</f>
        <v>手工藝工作室</v>
      </c>
      <c r="F20" s="3" t="e">
        <f t="array" aca="1" ref="F20:H20" ca="1">XLOOKUP(A20,'彼此影業 劇本盲測對象調查 - 盲測初選名單 (已自動連結)'!B:B,'彼此影業 劇本盲測對象調查 - 盲測初選名單 (已自動連結)'!H:J)</f>
        <v>#NAME?</v>
      </c>
      <c r="G20" s="1" t="e">
        <f ca="1"/>
        <v>#NAME?</v>
      </c>
      <c r="H20" s="1" t="e">
        <f ca="1"/>
        <v>#NAME?</v>
      </c>
      <c r="I20" s="4" t="e">
        <f t="array" aca="1" ref="I20:AI20" ca="1">XLOOKUP(A20,#REF!,#REF!)</f>
        <v>#NAME?</v>
      </c>
      <c r="J20" s="1" t="e">
        <f ca="1"/>
        <v>#NAME?</v>
      </c>
      <c r="K20" s="1" t="e">
        <f ca="1"/>
        <v>#NAME?</v>
      </c>
      <c r="L20" s="1" t="e">
        <f ca="1"/>
        <v>#NAME?</v>
      </c>
      <c r="M20" s="1" t="e">
        <f ca="1"/>
        <v>#NAME?</v>
      </c>
      <c r="N20" s="1" t="e">
        <f ca="1"/>
        <v>#NAME?</v>
      </c>
      <c r="O20" s="1" t="e">
        <f ca="1"/>
        <v>#NAME?</v>
      </c>
      <c r="P20" s="1" t="e">
        <f ca="1"/>
        <v>#NAME?</v>
      </c>
      <c r="Q20" s="1" t="e">
        <f ca="1"/>
        <v>#NAME?</v>
      </c>
      <c r="R20" s="1" t="e">
        <f ca="1"/>
        <v>#NAME?</v>
      </c>
      <c r="S20" s="1" t="e">
        <f ca="1"/>
        <v>#NAME?</v>
      </c>
      <c r="T20" s="1" t="e">
        <f ca="1"/>
        <v>#NAME?</v>
      </c>
      <c r="U20" s="1" t="e">
        <f ca="1"/>
        <v>#NAME?</v>
      </c>
      <c r="V20" s="1" t="e">
        <f ca="1"/>
        <v>#NAME?</v>
      </c>
      <c r="W20" s="1" t="e">
        <f ca="1"/>
        <v>#NAME?</v>
      </c>
      <c r="X20" s="1" t="e">
        <f ca="1"/>
        <v>#NAME?</v>
      </c>
      <c r="Y20" s="1" t="e">
        <f ca="1"/>
        <v>#NAME?</v>
      </c>
      <c r="Z20" s="1" t="e">
        <f ca="1"/>
        <v>#NAME?</v>
      </c>
      <c r="AA20" s="1" t="e">
        <f ca="1"/>
        <v>#NAME?</v>
      </c>
      <c r="AB20" s="1" t="e">
        <f ca="1"/>
        <v>#NAME?</v>
      </c>
      <c r="AC20" s="1" t="e">
        <f ca="1"/>
        <v>#NAME?</v>
      </c>
      <c r="AD20" s="1" t="e">
        <f ca="1"/>
        <v>#NAME?</v>
      </c>
      <c r="AE20" s="1" t="e">
        <f ca="1"/>
        <v>#NAME?</v>
      </c>
      <c r="AF20" s="1" t="e">
        <f ca="1"/>
        <v>#NAME?</v>
      </c>
      <c r="AG20" s="1" t="e">
        <f ca="1"/>
        <v>#NAME?</v>
      </c>
      <c r="AH20" s="1" t="e">
        <f ca="1"/>
        <v>#NAME?</v>
      </c>
      <c r="AI20" s="1" t="e">
        <f ca="1"/>
        <v>#NAME?</v>
      </c>
    </row>
    <row r="21" spans="1:35" ht="22.5" customHeight="1" x14ac:dyDescent="0.15">
      <c r="A21" s="1" t="str">
        <f ca="1">IFERROR(__xludf.DUMMYFUNCTION("""COMPUTED_VALUE"""),"許若亮")</f>
        <v>許若亮</v>
      </c>
      <c r="B21" s="1" t="str">
        <f ca="1">IFERROR(__xludf.DUMMYFUNCTION("""COMPUTED_VALUE"""),"生理女")</f>
        <v>生理女</v>
      </c>
      <c r="C21" s="1" t="str">
        <f ca="1">IFERROR(__xludf.DUMMYFUNCTION("""COMPUTED_VALUE"""),"26-30")</f>
        <v>26-30</v>
      </c>
      <c r="D21" s="1" t="str">
        <f ca="1">IFERROR(__xludf.DUMMYFUNCTION("""COMPUTED_VALUE"""),"新北市")</f>
        <v>新北市</v>
      </c>
      <c r="E21" s="1" t="str">
        <f ca="1">IFERROR(__xludf.DUMMYFUNCTION("""COMPUTED_VALUE"""),"金融業")</f>
        <v>金融業</v>
      </c>
      <c r="F21" s="3" t="e">
        <f t="array" aca="1" ref="F21:H21" ca="1">XLOOKUP(A21,'彼此影業 劇本盲測對象調查 - 盲測初選名單 (已自動連結)'!B:B,'彼此影業 劇本盲測對象調查 - 盲測初選名單 (已自動連結)'!H:J)</f>
        <v>#NAME?</v>
      </c>
      <c r="G21" s="1" t="e">
        <f ca="1"/>
        <v>#NAME?</v>
      </c>
      <c r="H21" s="1" t="e">
        <f ca="1"/>
        <v>#NAME?</v>
      </c>
      <c r="I21" s="4" t="e">
        <f t="array" aca="1" ref="I21:AI21" ca="1">XLOOKUP(A21,#REF!,#REF!)</f>
        <v>#NAME?</v>
      </c>
      <c r="J21" s="1" t="e">
        <f ca="1"/>
        <v>#NAME?</v>
      </c>
      <c r="K21" s="1" t="e">
        <f ca="1"/>
        <v>#NAME?</v>
      </c>
      <c r="L21" s="1" t="e">
        <f ca="1"/>
        <v>#NAME?</v>
      </c>
      <c r="M21" s="1" t="e">
        <f ca="1"/>
        <v>#NAME?</v>
      </c>
      <c r="N21" s="1" t="e">
        <f ca="1"/>
        <v>#NAME?</v>
      </c>
      <c r="O21" s="1" t="e">
        <f ca="1"/>
        <v>#NAME?</v>
      </c>
      <c r="P21" s="1" t="e">
        <f ca="1"/>
        <v>#NAME?</v>
      </c>
      <c r="Q21" s="1" t="e">
        <f ca="1"/>
        <v>#NAME?</v>
      </c>
      <c r="R21" s="1" t="e">
        <f ca="1"/>
        <v>#NAME?</v>
      </c>
      <c r="S21" s="1" t="e">
        <f ca="1"/>
        <v>#NAME?</v>
      </c>
      <c r="T21" s="1" t="e">
        <f ca="1"/>
        <v>#NAME?</v>
      </c>
      <c r="U21" s="1" t="e">
        <f ca="1"/>
        <v>#NAME?</v>
      </c>
      <c r="V21" s="1" t="e">
        <f ca="1"/>
        <v>#NAME?</v>
      </c>
      <c r="W21" s="1" t="e">
        <f ca="1"/>
        <v>#NAME?</v>
      </c>
      <c r="X21" s="1" t="e">
        <f ca="1"/>
        <v>#NAME?</v>
      </c>
      <c r="Y21" s="1" t="e">
        <f ca="1"/>
        <v>#NAME?</v>
      </c>
      <c r="Z21" s="1" t="e">
        <f ca="1"/>
        <v>#NAME?</v>
      </c>
      <c r="AA21" s="1" t="e">
        <f ca="1"/>
        <v>#NAME?</v>
      </c>
      <c r="AB21" s="1" t="e">
        <f ca="1"/>
        <v>#NAME?</v>
      </c>
      <c r="AC21" s="1" t="e">
        <f ca="1"/>
        <v>#NAME?</v>
      </c>
      <c r="AD21" s="1" t="e">
        <f ca="1"/>
        <v>#NAME?</v>
      </c>
      <c r="AE21" s="1" t="e">
        <f ca="1"/>
        <v>#NAME?</v>
      </c>
      <c r="AF21" s="1" t="e">
        <f ca="1"/>
        <v>#NAME?</v>
      </c>
      <c r="AG21" s="1" t="e">
        <f ca="1"/>
        <v>#NAME?</v>
      </c>
      <c r="AH21" s="1" t="e">
        <f ca="1"/>
        <v>#NAME?</v>
      </c>
      <c r="AI21" s="1" t="e">
        <f ca="1"/>
        <v>#NAME?</v>
      </c>
    </row>
    <row r="22" spans="1:35" ht="22.5" customHeight="1" x14ac:dyDescent="0.15">
      <c r="A22" s="1" t="str">
        <f ca="1">IFERROR(__xludf.DUMMYFUNCTION("""COMPUTED_VALUE"""),"廖元維")</f>
        <v>廖元維</v>
      </c>
      <c r="B22" s="1" t="str">
        <f ca="1">IFERROR(__xludf.DUMMYFUNCTION("""COMPUTED_VALUE"""),"生理男")</f>
        <v>生理男</v>
      </c>
      <c r="C22" s="1" t="str">
        <f ca="1">IFERROR(__xludf.DUMMYFUNCTION("""COMPUTED_VALUE"""),"21-25")</f>
        <v>21-25</v>
      </c>
      <c r="D22" s="1" t="str">
        <f ca="1">IFERROR(__xludf.DUMMYFUNCTION("""COMPUTED_VALUE"""),"桃園市")</f>
        <v>桃園市</v>
      </c>
      <c r="E22" s="1" t="str">
        <f ca="1">IFERROR(__xludf.DUMMYFUNCTION("""COMPUTED_VALUE"""),"資訊工程系")</f>
        <v>資訊工程系</v>
      </c>
      <c r="F22" s="3" t="e">
        <f t="array" aca="1" ref="F22:H22" ca="1">XLOOKUP(A22,'彼此影業 劇本盲測對象調查 - 盲測初選名單 (已自動連結)'!B:B,'彼此影業 劇本盲測對象調查 - 盲測初選名單 (已自動連結)'!H:J)</f>
        <v>#NAME?</v>
      </c>
      <c r="G22" s="1" t="e">
        <f ca="1"/>
        <v>#NAME?</v>
      </c>
      <c r="H22" s="1" t="e">
        <f ca="1"/>
        <v>#NAME?</v>
      </c>
      <c r="I22" s="4" t="e">
        <f t="array" aca="1" ref="I22:AI22" ca="1">XLOOKUP(A22,#REF!,#REF!)</f>
        <v>#NAME?</v>
      </c>
      <c r="J22" s="1" t="e">
        <f ca="1"/>
        <v>#NAME?</v>
      </c>
      <c r="K22" s="1" t="e">
        <f ca="1"/>
        <v>#NAME?</v>
      </c>
      <c r="L22" s="1" t="e">
        <f ca="1"/>
        <v>#NAME?</v>
      </c>
      <c r="M22" s="1" t="e">
        <f ca="1"/>
        <v>#NAME?</v>
      </c>
      <c r="N22" s="1" t="e">
        <f ca="1"/>
        <v>#NAME?</v>
      </c>
      <c r="O22" s="1" t="e">
        <f ca="1"/>
        <v>#NAME?</v>
      </c>
      <c r="P22" s="1" t="e">
        <f ca="1"/>
        <v>#NAME?</v>
      </c>
      <c r="Q22" s="1" t="e">
        <f ca="1"/>
        <v>#NAME?</v>
      </c>
      <c r="R22" s="1" t="e">
        <f ca="1"/>
        <v>#NAME?</v>
      </c>
      <c r="S22" s="1" t="e">
        <f ca="1"/>
        <v>#NAME?</v>
      </c>
      <c r="T22" s="1" t="e">
        <f ca="1"/>
        <v>#NAME?</v>
      </c>
      <c r="U22" s="1" t="e">
        <f ca="1"/>
        <v>#NAME?</v>
      </c>
      <c r="V22" s="1" t="e">
        <f ca="1"/>
        <v>#NAME?</v>
      </c>
      <c r="W22" s="1" t="e">
        <f ca="1"/>
        <v>#NAME?</v>
      </c>
      <c r="X22" s="1" t="e">
        <f ca="1"/>
        <v>#NAME?</v>
      </c>
      <c r="Y22" s="1" t="e">
        <f ca="1"/>
        <v>#NAME?</v>
      </c>
      <c r="Z22" s="1" t="e">
        <f ca="1"/>
        <v>#NAME?</v>
      </c>
      <c r="AA22" s="1" t="e">
        <f ca="1"/>
        <v>#NAME?</v>
      </c>
      <c r="AB22" s="1" t="e">
        <f ca="1"/>
        <v>#NAME?</v>
      </c>
      <c r="AC22" s="1" t="e">
        <f ca="1"/>
        <v>#NAME?</v>
      </c>
      <c r="AD22" s="1" t="e">
        <f ca="1"/>
        <v>#NAME?</v>
      </c>
      <c r="AE22" s="1" t="e">
        <f ca="1"/>
        <v>#NAME?</v>
      </c>
      <c r="AF22" s="1" t="e">
        <f ca="1"/>
        <v>#NAME?</v>
      </c>
      <c r="AG22" s="1" t="e">
        <f ca="1"/>
        <v>#NAME?</v>
      </c>
      <c r="AH22" s="1" t="e">
        <f ca="1"/>
        <v>#NAME?</v>
      </c>
      <c r="AI22" s="1" t="e">
        <f ca="1"/>
        <v>#NAME?</v>
      </c>
    </row>
    <row r="23" spans="1:35" ht="22.5" customHeight="1" x14ac:dyDescent="0.15">
      <c r="A23" s="1" t="str">
        <f ca="1">IFERROR(__xludf.DUMMYFUNCTION("""COMPUTED_VALUE"""),"趙珩宇")</f>
        <v>趙珩宇</v>
      </c>
      <c r="B23" s="1" t="str">
        <f ca="1">IFERROR(__xludf.DUMMYFUNCTION("""COMPUTED_VALUE"""),"生理男")</f>
        <v>生理男</v>
      </c>
      <c r="C23" s="1" t="str">
        <f ca="1">IFERROR(__xludf.DUMMYFUNCTION("""COMPUTED_VALUE"""),"31-35")</f>
        <v>31-35</v>
      </c>
      <c r="D23" s="1" t="str">
        <f ca="1">IFERROR(__xludf.DUMMYFUNCTION("""COMPUTED_VALUE"""),"臺北市")</f>
        <v>臺北市</v>
      </c>
      <c r="E23" s="1" t="str">
        <f ca="1">IFERROR(__xludf.DUMMYFUNCTION("""COMPUTED_VALUE"""),"教師")</f>
        <v>教師</v>
      </c>
      <c r="F23" s="3" t="e">
        <f t="array" aca="1" ref="F23:H23" ca="1">XLOOKUP(A23,'彼此影業 劇本盲測對象調查 - 盲測初選名單 (已自動連結)'!B:B,'彼此影業 劇本盲測對象調查 - 盲測初選名單 (已自動連結)'!H:J)</f>
        <v>#NAME?</v>
      </c>
      <c r="G23" s="1" t="e">
        <f ca="1"/>
        <v>#NAME?</v>
      </c>
      <c r="H23" s="1" t="e">
        <f ca="1"/>
        <v>#NAME?</v>
      </c>
      <c r="I23" s="4" t="e">
        <f t="array" aca="1" ref="I23:AI23" ca="1">XLOOKUP(A23,#REF!,#REF!)</f>
        <v>#NAME?</v>
      </c>
      <c r="J23" s="1" t="e">
        <f ca="1"/>
        <v>#NAME?</v>
      </c>
      <c r="K23" s="1" t="e">
        <f ca="1"/>
        <v>#NAME?</v>
      </c>
      <c r="L23" s="1" t="e">
        <f ca="1"/>
        <v>#NAME?</v>
      </c>
      <c r="M23" s="1" t="e">
        <f ca="1"/>
        <v>#NAME?</v>
      </c>
      <c r="N23" s="1" t="e">
        <f ca="1"/>
        <v>#NAME?</v>
      </c>
      <c r="O23" s="1" t="e">
        <f ca="1"/>
        <v>#NAME?</v>
      </c>
      <c r="P23" s="1" t="e">
        <f ca="1"/>
        <v>#NAME?</v>
      </c>
      <c r="Q23" s="1" t="e">
        <f ca="1"/>
        <v>#NAME?</v>
      </c>
      <c r="R23" s="1" t="e">
        <f ca="1"/>
        <v>#NAME?</v>
      </c>
      <c r="S23" s="1" t="e">
        <f ca="1"/>
        <v>#NAME?</v>
      </c>
      <c r="T23" s="1" t="e">
        <f ca="1"/>
        <v>#NAME?</v>
      </c>
      <c r="U23" s="1" t="e">
        <f ca="1"/>
        <v>#NAME?</v>
      </c>
      <c r="V23" s="1" t="e">
        <f ca="1"/>
        <v>#NAME?</v>
      </c>
      <c r="W23" s="1" t="e">
        <f ca="1"/>
        <v>#NAME?</v>
      </c>
      <c r="X23" s="1" t="e">
        <f ca="1"/>
        <v>#NAME?</v>
      </c>
      <c r="Y23" s="1" t="e">
        <f ca="1"/>
        <v>#NAME?</v>
      </c>
      <c r="Z23" s="1" t="e">
        <f ca="1"/>
        <v>#NAME?</v>
      </c>
      <c r="AA23" s="1" t="e">
        <f ca="1"/>
        <v>#NAME?</v>
      </c>
      <c r="AB23" s="1" t="e">
        <f ca="1"/>
        <v>#NAME?</v>
      </c>
      <c r="AC23" s="1" t="e">
        <f ca="1"/>
        <v>#NAME?</v>
      </c>
      <c r="AD23" s="1" t="e">
        <f ca="1"/>
        <v>#NAME?</v>
      </c>
      <c r="AE23" s="1" t="e">
        <f ca="1"/>
        <v>#NAME?</v>
      </c>
      <c r="AF23" s="1" t="e">
        <f ca="1"/>
        <v>#NAME?</v>
      </c>
      <c r="AG23" s="1" t="e">
        <f ca="1"/>
        <v>#NAME?</v>
      </c>
      <c r="AH23" s="1" t="e">
        <f ca="1"/>
        <v>#NAME?</v>
      </c>
      <c r="AI23" s="1" t="e">
        <f ca="1"/>
        <v>#NAME?</v>
      </c>
    </row>
    <row r="24" spans="1:35" ht="22.5" customHeight="1" x14ac:dyDescent="0.15">
      <c r="A24" s="1" t="str">
        <f ca="1">IFERROR(__xludf.DUMMYFUNCTION("""COMPUTED_VALUE"""),"盧晉德")</f>
        <v>盧晉德</v>
      </c>
      <c r="B24" s="1" t="str">
        <f ca="1">IFERROR(__xludf.DUMMYFUNCTION("""COMPUTED_VALUE"""),"生理男")</f>
        <v>生理男</v>
      </c>
      <c r="C24" s="1" t="str">
        <f ca="1">IFERROR(__xludf.DUMMYFUNCTION("""COMPUTED_VALUE"""),"26-30")</f>
        <v>26-30</v>
      </c>
      <c r="D24" s="1" t="str">
        <f ca="1">IFERROR(__xludf.DUMMYFUNCTION("""COMPUTED_VALUE"""),"新北市")</f>
        <v>新北市</v>
      </c>
      <c r="E24" s="1" t="str">
        <f ca="1">IFERROR(__xludf.DUMMYFUNCTION("""COMPUTED_VALUE"""),"生技")</f>
        <v>生技</v>
      </c>
      <c r="F24" s="3" t="e">
        <f t="array" aca="1" ref="F24:H24" ca="1">XLOOKUP(A24,'彼此影業 劇本盲測對象調查 - 盲測初選名單 (已自動連結)'!B:B,'彼此影業 劇本盲測對象調查 - 盲測初選名單 (已自動連結)'!H:J)</f>
        <v>#NAME?</v>
      </c>
      <c r="G24" s="1" t="e">
        <f ca="1"/>
        <v>#NAME?</v>
      </c>
      <c r="H24" s="1" t="e">
        <f ca="1"/>
        <v>#NAME?</v>
      </c>
      <c r="I24" s="4" t="e">
        <f t="array" aca="1" ref="I24:AI24" ca="1">XLOOKUP(A24,#REF!,#REF!)</f>
        <v>#NAME?</v>
      </c>
      <c r="J24" s="1" t="e">
        <f ca="1"/>
        <v>#NAME?</v>
      </c>
      <c r="K24" s="1" t="e">
        <f ca="1"/>
        <v>#NAME?</v>
      </c>
      <c r="L24" s="1" t="e">
        <f ca="1"/>
        <v>#NAME?</v>
      </c>
      <c r="M24" s="1" t="e">
        <f ca="1"/>
        <v>#NAME?</v>
      </c>
      <c r="N24" s="1" t="e">
        <f ca="1"/>
        <v>#NAME?</v>
      </c>
      <c r="O24" s="1" t="e">
        <f ca="1"/>
        <v>#NAME?</v>
      </c>
      <c r="P24" s="1" t="e">
        <f ca="1"/>
        <v>#NAME?</v>
      </c>
      <c r="Q24" s="1" t="e">
        <f ca="1"/>
        <v>#NAME?</v>
      </c>
      <c r="R24" s="1" t="e">
        <f ca="1"/>
        <v>#NAME?</v>
      </c>
      <c r="S24" s="1" t="e">
        <f ca="1"/>
        <v>#NAME?</v>
      </c>
      <c r="T24" s="1" t="e">
        <f ca="1"/>
        <v>#NAME?</v>
      </c>
      <c r="U24" s="1" t="e">
        <f ca="1"/>
        <v>#NAME?</v>
      </c>
      <c r="V24" s="1" t="e">
        <f ca="1"/>
        <v>#NAME?</v>
      </c>
      <c r="W24" s="1" t="e">
        <f ca="1"/>
        <v>#NAME?</v>
      </c>
      <c r="X24" s="1" t="e">
        <f ca="1"/>
        <v>#NAME?</v>
      </c>
      <c r="Y24" s="1" t="e">
        <f ca="1"/>
        <v>#NAME?</v>
      </c>
      <c r="Z24" s="1" t="e">
        <f ca="1"/>
        <v>#NAME?</v>
      </c>
      <c r="AA24" s="1" t="e">
        <f ca="1"/>
        <v>#NAME?</v>
      </c>
      <c r="AB24" s="1" t="e">
        <f ca="1"/>
        <v>#NAME?</v>
      </c>
      <c r="AC24" s="1" t="e">
        <f ca="1"/>
        <v>#NAME?</v>
      </c>
      <c r="AD24" s="1" t="e">
        <f ca="1"/>
        <v>#NAME?</v>
      </c>
      <c r="AE24" s="1" t="e">
        <f ca="1"/>
        <v>#NAME?</v>
      </c>
      <c r="AF24" s="1" t="e">
        <f ca="1"/>
        <v>#NAME?</v>
      </c>
      <c r="AG24" s="1" t="e">
        <f ca="1"/>
        <v>#NAME?</v>
      </c>
      <c r="AH24" s="1" t="e">
        <f ca="1"/>
        <v>#NAME?</v>
      </c>
      <c r="AI24" s="1" t="e">
        <f ca="1"/>
        <v>#NAME?</v>
      </c>
    </row>
    <row r="25" spans="1:35" ht="22.5" customHeight="1" x14ac:dyDescent="0.15">
      <c r="A25" s="1" t="str">
        <f ca="1">IFERROR(__xludf.DUMMYFUNCTION("""COMPUTED_VALUE"""),"陳亮妤")</f>
        <v>陳亮妤</v>
      </c>
      <c r="B25" s="1" t="str">
        <f ca="1">IFERROR(__xludf.DUMMYFUNCTION("""COMPUTED_VALUE"""),"生理女")</f>
        <v>生理女</v>
      </c>
      <c r="C25" s="1" t="str">
        <f ca="1">IFERROR(__xludf.DUMMYFUNCTION("""COMPUTED_VALUE"""),"26-30")</f>
        <v>26-30</v>
      </c>
      <c r="D25" s="1" t="str">
        <f ca="1">IFERROR(__xludf.DUMMYFUNCTION("""COMPUTED_VALUE"""),"泰山")</f>
        <v>泰山</v>
      </c>
      <c r="E25" s="1" t="str">
        <f ca="1">IFERROR(__xludf.DUMMYFUNCTION("""COMPUTED_VALUE"""),"政府機關")</f>
        <v>政府機關</v>
      </c>
      <c r="F25" s="3" t="e">
        <f t="array" aca="1" ref="F25:H25" ca="1">XLOOKUP(A25,'彼此影業 劇本盲測對象調查 - 盲測初選名單 (已自動連結)'!B:B,'彼此影業 劇本盲測對象調查 - 盲測初選名單 (已自動連結)'!H:J)</f>
        <v>#NAME?</v>
      </c>
      <c r="G25" s="1" t="e">
        <f ca="1"/>
        <v>#NAME?</v>
      </c>
      <c r="H25" s="1" t="e">
        <f ca="1"/>
        <v>#NAME?</v>
      </c>
      <c r="I25" s="4" t="e">
        <f t="array" aca="1" ref="I25:AI25" ca="1">XLOOKUP(A25,#REF!,#REF!)</f>
        <v>#NAME?</v>
      </c>
      <c r="J25" s="1" t="e">
        <f ca="1"/>
        <v>#NAME?</v>
      </c>
      <c r="K25" s="1" t="e">
        <f ca="1"/>
        <v>#NAME?</v>
      </c>
      <c r="L25" s="1" t="e">
        <f ca="1"/>
        <v>#NAME?</v>
      </c>
      <c r="M25" s="1" t="e">
        <f ca="1"/>
        <v>#NAME?</v>
      </c>
      <c r="N25" s="1" t="e">
        <f ca="1"/>
        <v>#NAME?</v>
      </c>
      <c r="O25" s="1" t="e">
        <f ca="1"/>
        <v>#NAME?</v>
      </c>
      <c r="P25" s="1" t="e">
        <f ca="1"/>
        <v>#NAME?</v>
      </c>
      <c r="Q25" s="1" t="e">
        <f ca="1"/>
        <v>#NAME?</v>
      </c>
      <c r="R25" s="1" t="e">
        <f ca="1"/>
        <v>#NAME?</v>
      </c>
      <c r="S25" s="1" t="e">
        <f ca="1"/>
        <v>#NAME?</v>
      </c>
      <c r="T25" s="1" t="e">
        <f ca="1"/>
        <v>#NAME?</v>
      </c>
      <c r="U25" s="1" t="e">
        <f ca="1"/>
        <v>#NAME?</v>
      </c>
      <c r="V25" s="1" t="e">
        <f ca="1"/>
        <v>#NAME?</v>
      </c>
      <c r="W25" s="1" t="e">
        <f ca="1"/>
        <v>#NAME?</v>
      </c>
      <c r="X25" s="1" t="e">
        <f ca="1"/>
        <v>#NAME?</v>
      </c>
      <c r="Y25" s="1" t="e">
        <f ca="1"/>
        <v>#NAME?</v>
      </c>
      <c r="Z25" s="1" t="e">
        <f ca="1"/>
        <v>#NAME?</v>
      </c>
      <c r="AA25" s="1" t="e">
        <f ca="1"/>
        <v>#NAME?</v>
      </c>
      <c r="AB25" s="1" t="e">
        <f ca="1"/>
        <v>#NAME?</v>
      </c>
      <c r="AC25" s="1" t="e">
        <f ca="1"/>
        <v>#NAME?</v>
      </c>
      <c r="AD25" s="1" t="e">
        <f ca="1"/>
        <v>#NAME?</v>
      </c>
      <c r="AE25" s="1" t="e">
        <f ca="1"/>
        <v>#NAME?</v>
      </c>
      <c r="AF25" s="1" t="e">
        <f ca="1"/>
        <v>#NAME?</v>
      </c>
      <c r="AG25" s="1" t="e">
        <f ca="1"/>
        <v>#NAME?</v>
      </c>
      <c r="AH25" s="1" t="e">
        <f ca="1"/>
        <v>#NAME?</v>
      </c>
      <c r="AI25" s="1" t="e">
        <f ca="1"/>
        <v>#NAME?</v>
      </c>
    </row>
    <row r="26" spans="1:35" ht="22.5" customHeight="1" x14ac:dyDescent="0.15">
      <c r="A26" s="1" t="str">
        <f ca="1">IFERROR(__xludf.DUMMYFUNCTION("""COMPUTED_VALUE"""),"施相宇")</f>
        <v>施相宇</v>
      </c>
      <c r="B26" s="1" t="str">
        <f ca="1">IFERROR(__xludf.DUMMYFUNCTION("""COMPUTED_VALUE"""),"生理男")</f>
        <v>生理男</v>
      </c>
      <c r="C26" s="1" t="str">
        <f ca="1">IFERROR(__xludf.DUMMYFUNCTION("""COMPUTED_VALUE"""),"26-30")</f>
        <v>26-30</v>
      </c>
      <c r="D26" s="1" t="str">
        <f ca="1">IFERROR(__xludf.DUMMYFUNCTION("""COMPUTED_VALUE"""),"新北市")</f>
        <v>新北市</v>
      </c>
      <c r="E26" s="1" t="str">
        <f ca="1">IFERROR(__xludf.DUMMYFUNCTION("""COMPUTED_VALUE"""),"建築/營造")</f>
        <v>建築/營造</v>
      </c>
      <c r="F26" s="3" t="e">
        <f t="array" aca="1" ref="F26:H26" ca="1">XLOOKUP(A26,'彼此影業 劇本盲測對象調查 - 盲測初選名單 (已自動連結)'!B:B,'彼此影業 劇本盲測對象調查 - 盲測初選名單 (已自動連結)'!H:J)</f>
        <v>#NAME?</v>
      </c>
      <c r="G26" s="1" t="e">
        <f ca="1"/>
        <v>#NAME?</v>
      </c>
      <c r="H26" s="1" t="e">
        <f ca="1"/>
        <v>#NAME?</v>
      </c>
      <c r="I26" s="4" t="e">
        <f t="array" aca="1" ref="I26:AI26" ca="1">XLOOKUP(A26,#REF!,#REF!)</f>
        <v>#NAME?</v>
      </c>
      <c r="J26" s="1" t="e">
        <f ca="1"/>
        <v>#NAME?</v>
      </c>
      <c r="K26" s="1" t="e">
        <f ca="1"/>
        <v>#NAME?</v>
      </c>
      <c r="L26" s="1" t="e">
        <f ca="1"/>
        <v>#NAME?</v>
      </c>
      <c r="M26" s="1" t="e">
        <f ca="1"/>
        <v>#NAME?</v>
      </c>
      <c r="N26" s="1" t="e">
        <f ca="1"/>
        <v>#NAME?</v>
      </c>
      <c r="O26" s="1" t="e">
        <f ca="1"/>
        <v>#NAME?</v>
      </c>
      <c r="P26" s="1" t="e">
        <f ca="1"/>
        <v>#NAME?</v>
      </c>
      <c r="Q26" s="1" t="e">
        <f ca="1"/>
        <v>#NAME?</v>
      </c>
      <c r="R26" s="1" t="e">
        <f ca="1"/>
        <v>#NAME?</v>
      </c>
      <c r="S26" s="1" t="e">
        <f ca="1"/>
        <v>#NAME?</v>
      </c>
      <c r="T26" s="1" t="e">
        <f ca="1"/>
        <v>#NAME?</v>
      </c>
      <c r="U26" s="1" t="e">
        <f ca="1"/>
        <v>#NAME?</v>
      </c>
      <c r="V26" s="1" t="e">
        <f ca="1"/>
        <v>#NAME?</v>
      </c>
      <c r="W26" s="1" t="e">
        <f ca="1"/>
        <v>#NAME?</v>
      </c>
      <c r="X26" s="1" t="e">
        <f ca="1"/>
        <v>#NAME?</v>
      </c>
      <c r="Y26" s="1" t="e">
        <f ca="1"/>
        <v>#NAME?</v>
      </c>
      <c r="Z26" s="1" t="e">
        <f ca="1"/>
        <v>#NAME?</v>
      </c>
      <c r="AA26" s="1" t="e">
        <f ca="1"/>
        <v>#NAME?</v>
      </c>
      <c r="AB26" s="1" t="e">
        <f ca="1"/>
        <v>#NAME?</v>
      </c>
      <c r="AC26" s="1" t="e">
        <f ca="1"/>
        <v>#NAME?</v>
      </c>
      <c r="AD26" s="1" t="e">
        <f ca="1"/>
        <v>#NAME?</v>
      </c>
      <c r="AE26" s="1" t="e">
        <f ca="1"/>
        <v>#NAME?</v>
      </c>
      <c r="AF26" s="1" t="e">
        <f ca="1"/>
        <v>#NAME?</v>
      </c>
      <c r="AG26" s="1" t="e">
        <f ca="1"/>
        <v>#NAME?</v>
      </c>
      <c r="AH26" s="1" t="e">
        <f ca="1"/>
        <v>#NAME?</v>
      </c>
      <c r="AI26" s="1" t="e">
        <f ca="1"/>
        <v>#NAME?</v>
      </c>
    </row>
    <row r="27" spans="1:35" ht="22.5" customHeight="1" x14ac:dyDescent="0.15">
      <c r="A27" s="1" t="str">
        <f ca="1">IFERROR(__xludf.DUMMYFUNCTION("""COMPUTED_VALUE"""),"張旭華")</f>
        <v>張旭華</v>
      </c>
      <c r="B27" s="1" t="str">
        <f ca="1">IFERROR(__xludf.DUMMYFUNCTION("""COMPUTED_VALUE"""),"生理女")</f>
        <v>生理女</v>
      </c>
      <c r="C27" s="1" t="str">
        <f ca="1">IFERROR(__xludf.DUMMYFUNCTION("""COMPUTED_VALUE"""),"21-25")</f>
        <v>21-25</v>
      </c>
      <c r="D27" s="1" t="str">
        <f ca="1">IFERROR(__xludf.DUMMYFUNCTION("""COMPUTED_VALUE"""),"臺北")</f>
        <v>臺北</v>
      </c>
      <c r="E27" s="1" t="str">
        <f ca="1">IFERROR(__xludf.DUMMYFUNCTION("""COMPUTED_VALUE"""),"金融業")</f>
        <v>金融業</v>
      </c>
      <c r="F27" s="3" t="e">
        <f t="array" aca="1" ref="F27:H27" ca="1">XLOOKUP(A27,'彼此影業 劇本盲測對象調查 - 盲測初選名單 (已自動連結)'!B:B,'彼此影業 劇本盲測對象調查 - 盲測初選名單 (已自動連結)'!H:J)</f>
        <v>#NAME?</v>
      </c>
      <c r="G27" s="1" t="e">
        <f ca="1"/>
        <v>#NAME?</v>
      </c>
      <c r="H27" s="1" t="e">
        <f ca="1"/>
        <v>#NAME?</v>
      </c>
      <c r="I27" s="4" t="e">
        <f t="array" aca="1" ref="I27:AI27" ca="1">XLOOKUP(A27,#REF!,#REF!)</f>
        <v>#NAME?</v>
      </c>
      <c r="J27" s="1" t="e">
        <f ca="1"/>
        <v>#NAME?</v>
      </c>
      <c r="K27" s="1" t="e">
        <f ca="1"/>
        <v>#NAME?</v>
      </c>
      <c r="L27" s="1" t="e">
        <f ca="1"/>
        <v>#NAME?</v>
      </c>
      <c r="M27" s="1" t="e">
        <f ca="1"/>
        <v>#NAME?</v>
      </c>
      <c r="N27" s="1" t="e">
        <f ca="1"/>
        <v>#NAME?</v>
      </c>
      <c r="O27" s="1" t="e">
        <f ca="1"/>
        <v>#NAME?</v>
      </c>
      <c r="P27" s="1" t="e">
        <f ca="1"/>
        <v>#NAME?</v>
      </c>
      <c r="Q27" s="1" t="e">
        <f ca="1"/>
        <v>#NAME?</v>
      </c>
      <c r="R27" s="1" t="e">
        <f ca="1"/>
        <v>#NAME?</v>
      </c>
      <c r="S27" s="1" t="e">
        <f ca="1"/>
        <v>#NAME?</v>
      </c>
      <c r="T27" s="1" t="e">
        <f ca="1"/>
        <v>#NAME?</v>
      </c>
      <c r="U27" s="1" t="e">
        <f ca="1"/>
        <v>#NAME?</v>
      </c>
      <c r="V27" s="1" t="e">
        <f ca="1"/>
        <v>#NAME?</v>
      </c>
      <c r="W27" s="1" t="e">
        <f ca="1"/>
        <v>#NAME?</v>
      </c>
      <c r="X27" s="1" t="e">
        <f ca="1"/>
        <v>#NAME?</v>
      </c>
      <c r="Y27" s="1" t="e">
        <f ca="1"/>
        <v>#NAME?</v>
      </c>
      <c r="Z27" s="1" t="e">
        <f ca="1"/>
        <v>#NAME?</v>
      </c>
      <c r="AA27" s="1" t="e">
        <f ca="1"/>
        <v>#NAME?</v>
      </c>
      <c r="AB27" s="1" t="e">
        <f ca="1"/>
        <v>#NAME?</v>
      </c>
      <c r="AC27" s="1" t="e">
        <f ca="1"/>
        <v>#NAME?</v>
      </c>
      <c r="AD27" s="1" t="e">
        <f ca="1"/>
        <v>#NAME?</v>
      </c>
      <c r="AE27" s="1" t="e">
        <f ca="1"/>
        <v>#NAME?</v>
      </c>
      <c r="AF27" s="1" t="e">
        <f ca="1"/>
        <v>#NAME?</v>
      </c>
      <c r="AG27" s="1" t="e">
        <f ca="1"/>
        <v>#NAME?</v>
      </c>
      <c r="AH27" s="1" t="e">
        <f ca="1"/>
        <v>#NAME?</v>
      </c>
      <c r="AI27" s="1" t="e">
        <f ca="1"/>
        <v>#NAME?</v>
      </c>
    </row>
    <row r="28" spans="1:35" ht="22.5" customHeight="1" x14ac:dyDescent="0.15">
      <c r="A28" s="1" t="str">
        <f ca="1">IFERROR(__xludf.DUMMYFUNCTION("""COMPUTED_VALUE"""),"許哲維")</f>
        <v>許哲維</v>
      </c>
      <c r="B28" s="1" t="str">
        <f ca="1">IFERROR(__xludf.DUMMYFUNCTION("""COMPUTED_VALUE"""),"生理男")</f>
        <v>生理男</v>
      </c>
      <c r="C28" s="1" t="str">
        <f ca="1">IFERROR(__xludf.DUMMYFUNCTION("""COMPUTED_VALUE"""),"36-40")</f>
        <v>36-40</v>
      </c>
      <c r="D28" s="1" t="str">
        <f ca="1">IFERROR(__xludf.DUMMYFUNCTION("""COMPUTED_VALUE"""),"新北市")</f>
        <v>新北市</v>
      </c>
      <c r="E28" s="1" t="str">
        <f ca="1">IFERROR(__xludf.DUMMYFUNCTION("""COMPUTED_VALUE"""),"金融業")</f>
        <v>金融業</v>
      </c>
      <c r="F28" s="3" t="e">
        <f t="array" aca="1" ref="F28:H28" ca="1">XLOOKUP(A28,'彼此影業 劇本盲測對象調查 - 盲測初選名單 (已自動連結)'!B:B,'彼此影業 劇本盲測對象調查 - 盲測初選名單 (已自動連結)'!H:J)</f>
        <v>#NAME?</v>
      </c>
      <c r="G28" s="1" t="e">
        <f ca="1"/>
        <v>#NAME?</v>
      </c>
      <c r="H28" s="1" t="e">
        <f ca="1"/>
        <v>#NAME?</v>
      </c>
      <c r="I28" s="4" t="e">
        <f t="array" aca="1" ref="I28:AI28" ca="1">XLOOKUP(A28,#REF!,#REF!)</f>
        <v>#NAME?</v>
      </c>
      <c r="J28" s="1" t="e">
        <f ca="1"/>
        <v>#NAME?</v>
      </c>
      <c r="K28" s="1" t="e">
        <f ca="1"/>
        <v>#NAME?</v>
      </c>
      <c r="L28" s="1" t="e">
        <f ca="1"/>
        <v>#NAME?</v>
      </c>
      <c r="M28" s="1" t="e">
        <f ca="1"/>
        <v>#NAME?</v>
      </c>
      <c r="N28" s="1" t="e">
        <f ca="1"/>
        <v>#NAME?</v>
      </c>
      <c r="O28" s="1" t="e">
        <f ca="1"/>
        <v>#NAME?</v>
      </c>
      <c r="P28" s="1" t="e">
        <f ca="1"/>
        <v>#NAME?</v>
      </c>
      <c r="Q28" s="1" t="e">
        <f ca="1"/>
        <v>#NAME?</v>
      </c>
      <c r="R28" s="1" t="e">
        <f ca="1"/>
        <v>#NAME?</v>
      </c>
      <c r="S28" s="1" t="e">
        <f ca="1"/>
        <v>#NAME?</v>
      </c>
      <c r="T28" s="1" t="e">
        <f ca="1"/>
        <v>#NAME?</v>
      </c>
      <c r="U28" s="1" t="e">
        <f ca="1"/>
        <v>#NAME?</v>
      </c>
      <c r="V28" s="1" t="e">
        <f ca="1"/>
        <v>#NAME?</v>
      </c>
      <c r="W28" s="1" t="e">
        <f ca="1"/>
        <v>#NAME?</v>
      </c>
      <c r="X28" s="1" t="e">
        <f ca="1"/>
        <v>#NAME?</v>
      </c>
      <c r="Y28" s="1" t="e">
        <f ca="1"/>
        <v>#NAME?</v>
      </c>
      <c r="Z28" s="1" t="e">
        <f ca="1"/>
        <v>#NAME?</v>
      </c>
      <c r="AA28" s="1" t="e">
        <f ca="1"/>
        <v>#NAME?</v>
      </c>
      <c r="AB28" s="1" t="e">
        <f ca="1"/>
        <v>#NAME?</v>
      </c>
      <c r="AC28" s="1" t="e">
        <f ca="1"/>
        <v>#NAME?</v>
      </c>
      <c r="AD28" s="1" t="e">
        <f ca="1"/>
        <v>#NAME?</v>
      </c>
      <c r="AE28" s="1" t="e">
        <f ca="1"/>
        <v>#NAME?</v>
      </c>
      <c r="AF28" s="1" t="e">
        <f ca="1"/>
        <v>#NAME?</v>
      </c>
      <c r="AG28" s="1" t="e">
        <f ca="1"/>
        <v>#NAME?</v>
      </c>
      <c r="AH28" s="1" t="e">
        <f ca="1"/>
        <v>#NAME?</v>
      </c>
      <c r="AI28" s="1" t="e">
        <f ca="1"/>
        <v>#NAME?</v>
      </c>
    </row>
    <row r="29" spans="1:35" ht="22.5" customHeight="1" x14ac:dyDescent="0.15">
      <c r="A29" s="1" t="str">
        <f ca="1">IFERROR(__xludf.DUMMYFUNCTION("""COMPUTED_VALUE"""),"宋昆銘")</f>
        <v>宋昆銘</v>
      </c>
      <c r="B29" s="1" t="str">
        <f ca="1">IFERROR(__xludf.DUMMYFUNCTION("""COMPUTED_VALUE"""),"生理男")</f>
        <v>生理男</v>
      </c>
      <c r="C29" s="1" t="str">
        <f ca="1">IFERROR(__xludf.DUMMYFUNCTION("""COMPUTED_VALUE"""),"46-50")</f>
        <v>46-50</v>
      </c>
      <c r="D29" s="1" t="str">
        <f ca="1">IFERROR(__xludf.DUMMYFUNCTION("""COMPUTED_VALUE"""),"臺北市")</f>
        <v>臺北市</v>
      </c>
      <c r="E29" s="1" t="str">
        <f ca="1">IFERROR(__xludf.DUMMYFUNCTION("""COMPUTED_VALUE"""),"媒體出版業")</f>
        <v>媒體出版業</v>
      </c>
      <c r="F29" s="3" t="e">
        <f t="array" aca="1" ref="F29:H29" ca="1">XLOOKUP(A29,'彼此影業 劇本盲測對象調查 - 盲測初選名單 (已自動連結)'!B:B,'彼此影業 劇本盲測對象調查 - 盲測初選名單 (已自動連結)'!H:J)</f>
        <v>#NAME?</v>
      </c>
      <c r="G29" s="1" t="e">
        <f ca="1"/>
        <v>#NAME?</v>
      </c>
      <c r="H29" s="1" t="e">
        <f ca="1"/>
        <v>#NAME?</v>
      </c>
      <c r="I29" s="4" t="e">
        <f t="array" aca="1" ref="I29:AI29" ca="1">XLOOKUP(A29,#REF!,#REF!)</f>
        <v>#NAME?</v>
      </c>
      <c r="J29" s="1" t="e">
        <f ca="1"/>
        <v>#NAME?</v>
      </c>
      <c r="K29" s="1" t="e">
        <f ca="1"/>
        <v>#NAME?</v>
      </c>
      <c r="L29" s="1" t="e">
        <f ca="1"/>
        <v>#NAME?</v>
      </c>
      <c r="M29" s="1" t="e">
        <f ca="1"/>
        <v>#NAME?</v>
      </c>
      <c r="N29" s="1" t="e">
        <f ca="1"/>
        <v>#NAME?</v>
      </c>
      <c r="O29" s="1" t="e">
        <f ca="1"/>
        <v>#NAME?</v>
      </c>
      <c r="P29" s="1" t="e">
        <f ca="1"/>
        <v>#NAME?</v>
      </c>
      <c r="Q29" s="1" t="e">
        <f ca="1"/>
        <v>#NAME?</v>
      </c>
      <c r="R29" s="1" t="e">
        <f ca="1"/>
        <v>#NAME?</v>
      </c>
      <c r="S29" s="1" t="e">
        <f ca="1"/>
        <v>#NAME?</v>
      </c>
      <c r="T29" s="1" t="e">
        <f ca="1"/>
        <v>#NAME?</v>
      </c>
      <c r="U29" s="1" t="e">
        <f ca="1"/>
        <v>#NAME?</v>
      </c>
      <c r="V29" s="1" t="e">
        <f ca="1"/>
        <v>#NAME?</v>
      </c>
      <c r="W29" s="1" t="e">
        <f ca="1"/>
        <v>#NAME?</v>
      </c>
      <c r="X29" s="1" t="e">
        <f ca="1"/>
        <v>#NAME?</v>
      </c>
      <c r="Y29" s="1" t="e">
        <f ca="1"/>
        <v>#NAME?</v>
      </c>
      <c r="Z29" s="1" t="e">
        <f ca="1"/>
        <v>#NAME?</v>
      </c>
      <c r="AA29" s="1" t="e">
        <f ca="1"/>
        <v>#NAME?</v>
      </c>
      <c r="AB29" s="1" t="e">
        <f ca="1"/>
        <v>#NAME?</v>
      </c>
      <c r="AC29" s="1" t="e">
        <f ca="1"/>
        <v>#NAME?</v>
      </c>
      <c r="AD29" s="1" t="e">
        <f ca="1"/>
        <v>#NAME?</v>
      </c>
      <c r="AE29" s="1" t="e">
        <f ca="1"/>
        <v>#NAME?</v>
      </c>
      <c r="AF29" s="1" t="e">
        <f ca="1"/>
        <v>#NAME?</v>
      </c>
      <c r="AG29" s="1" t="e">
        <f ca="1"/>
        <v>#NAME?</v>
      </c>
      <c r="AH29" s="1" t="e">
        <f ca="1"/>
        <v>#NAME?</v>
      </c>
      <c r="AI29" s="1" t="e">
        <f ca="1"/>
        <v>#NAME?</v>
      </c>
    </row>
    <row r="30" spans="1:35" ht="22.5" customHeight="1" x14ac:dyDescent="0.15">
      <c r="A30" s="1" t="str">
        <f ca="1">IFERROR(__xludf.DUMMYFUNCTION("""COMPUTED_VALUE"""),"莊仁豪")</f>
        <v>莊仁豪</v>
      </c>
      <c r="B30" s="1" t="str">
        <f ca="1">IFERROR(__xludf.DUMMYFUNCTION("""COMPUTED_VALUE"""),"生理男")</f>
        <v>生理男</v>
      </c>
      <c r="C30" s="1" t="str">
        <f ca="1">IFERROR(__xludf.DUMMYFUNCTION("""COMPUTED_VALUE"""),"36-40")</f>
        <v>36-40</v>
      </c>
      <c r="D30" s="1" t="str">
        <f ca="1">IFERROR(__xludf.DUMMYFUNCTION("""COMPUTED_VALUE"""),"臺北市")</f>
        <v>臺北市</v>
      </c>
      <c r="E30" s="1" t="str">
        <f ca="1">IFERROR(__xludf.DUMMYFUNCTION("""COMPUTED_VALUE"""),"醫療")</f>
        <v>醫療</v>
      </c>
      <c r="F30" s="3" t="e">
        <f t="array" aca="1" ref="F30:H30" ca="1">XLOOKUP(A30,'彼此影業 劇本盲測對象調查 - 盲測初選名單 (已自動連結)'!B:B,'彼此影業 劇本盲測對象調查 - 盲測初選名單 (已自動連結)'!H:J)</f>
        <v>#NAME?</v>
      </c>
      <c r="G30" s="1" t="e">
        <f ca="1"/>
        <v>#NAME?</v>
      </c>
      <c r="H30" s="1" t="e">
        <f ca="1"/>
        <v>#NAME?</v>
      </c>
      <c r="I30" s="4" t="e">
        <f t="array" aca="1" ref="I30:AI30" ca="1">XLOOKUP(A30,#REF!,#REF!)</f>
        <v>#NAME?</v>
      </c>
      <c r="J30" s="1" t="e">
        <f ca="1"/>
        <v>#NAME?</v>
      </c>
      <c r="K30" s="1" t="e">
        <f ca="1"/>
        <v>#NAME?</v>
      </c>
      <c r="L30" s="1" t="e">
        <f ca="1"/>
        <v>#NAME?</v>
      </c>
      <c r="M30" s="1" t="e">
        <f ca="1"/>
        <v>#NAME?</v>
      </c>
      <c r="N30" s="1" t="e">
        <f ca="1"/>
        <v>#NAME?</v>
      </c>
      <c r="O30" s="1" t="e">
        <f ca="1"/>
        <v>#NAME?</v>
      </c>
      <c r="P30" s="1" t="e">
        <f ca="1"/>
        <v>#NAME?</v>
      </c>
      <c r="Q30" s="1" t="e">
        <f ca="1"/>
        <v>#NAME?</v>
      </c>
      <c r="R30" s="1" t="e">
        <f ca="1"/>
        <v>#NAME?</v>
      </c>
      <c r="S30" s="1" t="e">
        <f ca="1"/>
        <v>#NAME?</v>
      </c>
      <c r="T30" s="1" t="e">
        <f ca="1"/>
        <v>#NAME?</v>
      </c>
      <c r="U30" s="1" t="e">
        <f ca="1"/>
        <v>#NAME?</v>
      </c>
      <c r="V30" s="1" t="e">
        <f ca="1"/>
        <v>#NAME?</v>
      </c>
      <c r="W30" s="1" t="e">
        <f ca="1"/>
        <v>#NAME?</v>
      </c>
      <c r="X30" s="1" t="e">
        <f ca="1"/>
        <v>#NAME?</v>
      </c>
      <c r="Y30" s="1" t="e">
        <f ca="1"/>
        <v>#NAME?</v>
      </c>
      <c r="Z30" s="1" t="e">
        <f ca="1"/>
        <v>#NAME?</v>
      </c>
      <c r="AA30" s="1" t="e">
        <f ca="1"/>
        <v>#NAME?</v>
      </c>
      <c r="AB30" s="1" t="e">
        <f ca="1"/>
        <v>#NAME?</v>
      </c>
      <c r="AC30" s="1" t="e">
        <f ca="1"/>
        <v>#NAME?</v>
      </c>
      <c r="AD30" s="1" t="e">
        <f ca="1"/>
        <v>#NAME?</v>
      </c>
      <c r="AE30" s="1" t="e">
        <f ca="1"/>
        <v>#NAME?</v>
      </c>
      <c r="AF30" s="1" t="e">
        <f ca="1"/>
        <v>#NAME?</v>
      </c>
      <c r="AG30" s="1" t="e">
        <f ca="1"/>
        <v>#NAME?</v>
      </c>
      <c r="AH30" s="1" t="e">
        <f ca="1"/>
        <v>#NAME?</v>
      </c>
      <c r="AI30" s="1" t="e">
        <f ca="1"/>
        <v>#NAME?</v>
      </c>
    </row>
    <row r="31" spans="1:35" ht="22.5" customHeight="1" x14ac:dyDescent="0.15">
      <c r="A31" s="5" t="str">
        <f ca="1">IFERROR(__xludf.DUMMYFUNCTION("""COMPUTED_VALUE"""),"陳婷")</f>
        <v>陳婷</v>
      </c>
      <c r="B31" s="5" t="str">
        <f ca="1">IFERROR(__xludf.DUMMYFUNCTION("""COMPUTED_VALUE"""),"生理女")</f>
        <v>生理女</v>
      </c>
      <c r="C31" s="5" t="str">
        <f ca="1">IFERROR(__xludf.DUMMYFUNCTION("""COMPUTED_VALUE"""),"31-35")</f>
        <v>31-35</v>
      </c>
      <c r="D31" s="5" t="str">
        <f ca="1">IFERROR(__xludf.DUMMYFUNCTION("""COMPUTED_VALUE"""),"臺中市")</f>
        <v>臺中市</v>
      </c>
      <c r="E31" s="5" t="str">
        <f ca="1">IFERROR(__xludf.DUMMYFUNCTION("""COMPUTED_VALUE"""),"心理師")</f>
        <v>心理師</v>
      </c>
      <c r="F31" s="3" t="e">
        <f t="array" aca="1" ref="F31:H31" ca="1">XLOOKUP(A31,'彼此影業 劇本盲測對象調查 - 盲測初選名單 (已自動連結)'!B:B,'彼此影業 劇本盲測對象調查 - 盲測初選名單 (已自動連結)'!H:J)</f>
        <v>#NAME?</v>
      </c>
      <c r="G31" s="5" t="e">
        <f ca="1"/>
        <v>#NAME?</v>
      </c>
      <c r="H31" s="5" t="e">
        <f ca="1"/>
        <v>#NAME?</v>
      </c>
      <c r="I31" s="4" t="e">
        <f t="array" aca="1" ref="I31:AI31" ca="1">XLOOKUP(A31,#REF!,#REF!)</f>
        <v>#NAME?</v>
      </c>
      <c r="J31" s="5" t="e">
        <f ca="1"/>
        <v>#NAME?</v>
      </c>
      <c r="K31" s="5" t="e">
        <f ca="1"/>
        <v>#NAME?</v>
      </c>
      <c r="L31" s="5" t="e">
        <f ca="1"/>
        <v>#NAME?</v>
      </c>
      <c r="M31" s="5" t="e">
        <f ca="1"/>
        <v>#NAME?</v>
      </c>
      <c r="N31" s="5" t="e">
        <f ca="1"/>
        <v>#NAME?</v>
      </c>
      <c r="O31" s="5" t="e">
        <f ca="1"/>
        <v>#NAME?</v>
      </c>
      <c r="P31" s="5" t="e">
        <f ca="1"/>
        <v>#NAME?</v>
      </c>
      <c r="Q31" s="5" t="e">
        <f ca="1"/>
        <v>#NAME?</v>
      </c>
      <c r="R31" s="5" t="e">
        <f ca="1"/>
        <v>#NAME?</v>
      </c>
      <c r="S31" s="5" t="e">
        <f ca="1"/>
        <v>#NAME?</v>
      </c>
      <c r="T31" s="5" t="e">
        <f ca="1"/>
        <v>#NAME?</v>
      </c>
      <c r="U31" s="5" t="e">
        <f ca="1"/>
        <v>#NAME?</v>
      </c>
      <c r="V31" s="5" t="e">
        <f ca="1"/>
        <v>#NAME?</v>
      </c>
      <c r="W31" s="5" t="e">
        <f ca="1"/>
        <v>#NAME?</v>
      </c>
      <c r="X31" s="5" t="e">
        <f ca="1"/>
        <v>#NAME?</v>
      </c>
      <c r="Y31" s="5" t="e">
        <f ca="1"/>
        <v>#NAME?</v>
      </c>
      <c r="Z31" s="5" t="e">
        <f ca="1"/>
        <v>#NAME?</v>
      </c>
      <c r="AA31" s="5" t="e">
        <f ca="1"/>
        <v>#NAME?</v>
      </c>
      <c r="AB31" s="5" t="e">
        <f ca="1"/>
        <v>#NAME?</v>
      </c>
      <c r="AC31" s="5" t="e">
        <f ca="1"/>
        <v>#NAME?</v>
      </c>
      <c r="AD31" s="5" t="e">
        <f ca="1"/>
        <v>#NAME?</v>
      </c>
      <c r="AE31" s="5" t="e">
        <f ca="1"/>
        <v>#NAME?</v>
      </c>
      <c r="AF31" s="5" t="e">
        <f ca="1"/>
        <v>#NAME?</v>
      </c>
      <c r="AG31" s="5" t="e">
        <f ca="1"/>
        <v>#NAME?</v>
      </c>
      <c r="AH31" s="5" t="e">
        <f ca="1"/>
        <v>#NAME?</v>
      </c>
      <c r="AI31" s="5" t="e">
        <f ca="1"/>
        <v>#NAME?</v>
      </c>
    </row>
    <row r="32" spans="1:35" ht="22.5" customHeight="1" x14ac:dyDescent="0.15">
      <c r="A32" s="1" t="str">
        <f ca="1">IFERROR(__xludf.DUMMYFUNCTION("""COMPUTED_VALUE"""),"吳政鴻")</f>
        <v>吳政鴻</v>
      </c>
      <c r="B32" s="1" t="str">
        <f ca="1">IFERROR(__xludf.DUMMYFUNCTION("""COMPUTED_VALUE"""),"生理男")</f>
        <v>生理男</v>
      </c>
      <c r="C32" s="1" t="str">
        <f ca="1">IFERROR(__xludf.DUMMYFUNCTION("""COMPUTED_VALUE"""),"41-45")</f>
        <v>41-45</v>
      </c>
      <c r="D32" s="1" t="str">
        <f ca="1">IFERROR(__xludf.DUMMYFUNCTION("""COMPUTED_VALUE"""),"桃園市")</f>
        <v>桃園市</v>
      </c>
      <c r="E32" s="1" t="str">
        <f ca="1">IFERROR(__xludf.DUMMYFUNCTION("""COMPUTED_VALUE"""),"資訊業")</f>
        <v>資訊業</v>
      </c>
      <c r="F32" s="3" t="e">
        <f t="array" aca="1" ref="F32:H32" ca="1">XLOOKUP(A32,'彼此影業 劇本盲測對象調查 - 盲測初選名單 (已自動連結)'!B:B,'彼此影業 劇本盲測對象調查 - 盲測初選名單 (已自動連結)'!H:J)</f>
        <v>#NAME?</v>
      </c>
      <c r="G32" s="1" t="e">
        <f ca="1"/>
        <v>#NAME?</v>
      </c>
      <c r="H32" s="1" t="e">
        <f ca="1"/>
        <v>#NAME?</v>
      </c>
      <c r="I32" s="4" t="e">
        <f t="array" aca="1" ref="I32:AI32" ca="1">XLOOKUP(A32,#REF!,#REF!)</f>
        <v>#NAME?</v>
      </c>
      <c r="J32" s="1" t="e">
        <f ca="1"/>
        <v>#NAME?</v>
      </c>
      <c r="K32" s="1" t="e">
        <f ca="1"/>
        <v>#NAME?</v>
      </c>
      <c r="L32" s="1" t="e">
        <f ca="1"/>
        <v>#NAME?</v>
      </c>
      <c r="M32" s="1" t="e">
        <f ca="1"/>
        <v>#NAME?</v>
      </c>
      <c r="N32" s="1" t="e">
        <f ca="1"/>
        <v>#NAME?</v>
      </c>
      <c r="O32" s="1" t="e">
        <f ca="1"/>
        <v>#NAME?</v>
      </c>
      <c r="P32" s="1" t="e">
        <f ca="1"/>
        <v>#NAME?</v>
      </c>
      <c r="Q32" s="1" t="e">
        <f ca="1"/>
        <v>#NAME?</v>
      </c>
      <c r="R32" s="1" t="e">
        <f ca="1"/>
        <v>#NAME?</v>
      </c>
      <c r="S32" s="1" t="e">
        <f ca="1"/>
        <v>#NAME?</v>
      </c>
      <c r="T32" s="1" t="e">
        <f ca="1"/>
        <v>#NAME?</v>
      </c>
      <c r="U32" s="1" t="e">
        <f ca="1"/>
        <v>#NAME?</v>
      </c>
      <c r="V32" s="1" t="e">
        <f ca="1"/>
        <v>#NAME?</v>
      </c>
      <c r="W32" s="1" t="e">
        <f ca="1"/>
        <v>#NAME?</v>
      </c>
      <c r="X32" s="1" t="e">
        <f ca="1"/>
        <v>#NAME?</v>
      </c>
      <c r="Y32" s="1" t="e">
        <f ca="1"/>
        <v>#NAME?</v>
      </c>
      <c r="Z32" s="1" t="e">
        <f ca="1"/>
        <v>#NAME?</v>
      </c>
      <c r="AA32" s="1" t="e">
        <f ca="1"/>
        <v>#NAME?</v>
      </c>
      <c r="AB32" s="1" t="e">
        <f ca="1"/>
        <v>#NAME?</v>
      </c>
      <c r="AC32" s="1" t="e">
        <f ca="1"/>
        <v>#NAME?</v>
      </c>
      <c r="AD32" s="1" t="e">
        <f ca="1"/>
        <v>#NAME?</v>
      </c>
      <c r="AE32" s="1" t="e">
        <f ca="1"/>
        <v>#NAME?</v>
      </c>
      <c r="AF32" s="1" t="e">
        <f ca="1"/>
        <v>#NAME?</v>
      </c>
      <c r="AG32" s="1" t="e">
        <f ca="1"/>
        <v>#NAME?</v>
      </c>
      <c r="AH32" s="1" t="e">
        <f ca="1"/>
        <v>#NAME?</v>
      </c>
      <c r="AI32" s="1" t="e">
        <f ca="1"/>
        <v>#NAME?</v>
      </c>
    </row>
    <row r="33" spans="1:35" ht="22.5" customHeight="1" x14ac:dyDescent="0.15">
      <c r="A33" s="1" t="str">
        <f ca="1">IFERROR(__xludf.DUMMYFUNCTION("""COMPUTED_VALUE"""),"丁展譽")</f>
        <v>丁展譽</v>
      </c>
      <c r="B33" s="1" t="str">
        <f ca="1">IFERROR(__xludf.DUMMYFUNCTION("""COMPUTED_VALUE"""),"生理男")</f>
        <v>生理男</v>
      </c>
      <c r="C33" s="1" t="str">
        <f ca="1">IFERROR(__xludf.DUMMYFUNCTION("""COMPUTED_VALUE"""),"36-40")</f>
        <v>36-40</v>
      </c>
      <c r="D33" s="1" t="str">
        <f ca="1">IFERROR(__xludf.DUMMYFUNCTION("""COMPUTED_VALUE"""),"台北市")</f>
        <v>台北市</v>
      </c>
      <c r="E33" s="1" t="str">
        <f ca="1">IFERROR(__xludf.DUMMYFUNCTION("""COMPUTED_VALUE"""),"科技 / 新創 / 網路 / 行銷")</f>
        <v>科技 / 新創 / 網路 / 行銷</v>
      </c>
      <c r="F33" s="3" t="e">
        <f t="array" aca="1" ref="F33:H33" ca="1">XLOOKUP(A33,'彼此影業 劇本盲測對象調查 - 盲測初選名單 (已自動連結)'!B:B,'彼此影業 劇本盲測對象調查 - 盲測初選名單 (已自動連結)'!H:J)</f>
        <v>#NAME?</v>
      </c>
      <c r="G33" s="1" t="e">
        <f ca="1"/>
        <v>#NAME?</v>
      </c>
      <c r="H33" s="1" t="e">
        <f ca="1"/>
        <v>#NAME?</v>
      </c>
      <c r="I33" s="4" t="e">
        <f t="array" aca="1" ref="I33:AI33" ca="1">XLOOKUP(A33,#REF!,#REF!)</f>
        <v>#NAME?</v>
      </c>
      <c r="J33" s="1" t="e">
        <f ca="1"/>
        <v>#NAME?</v>
      </c>
      <c r="K33" s="1" t="e">
        <f ca="1"/>
        <v>#NAME?</v>
      </c>
      <c r="L33" s="1" t="e">
        <f ca="1"/>
        <v>#NAME?</v>
      </c>
      <c r="M33" s="1" t="e">
        <f ca="1"/>
        <v>#NAME?</v>
      </c>
      <c r="N33" s="1" t="e">
        <f ca="1"/>
        <v>#NAME?</v>
      </c>
      <c r="O33" s="1" t="e">
        <f ca="1"/>
        <v>#NAME?</v>
      </c>
      <c r="P33" s="1" t="e">
        <f ca="1"/>
        <v>#NAME?</v>
      </c>
      <c r="Q33" s="1" t="e">
        <f ca="1"/>
        <v>#NAME?</v>
      </c>
      <c r="R33" s="1" t="e">
        <f ca="1"/>
        <v>#NAME?</v>
      </c>
      <c r="S33" s="1" t="e">
        <f ca="1"/>
        <v>#NAME?</v>
      </c>
      <c r="T33" s="1" t="e">
        <f ca="1"/>
        <v>#NAME?</v>
      </c>
      <c r="U33" s="1" t="e">
        <f ca="1"/>
        <v>#NAME?</v>
      </c>
      <c r="V33" s="1" t="e">
        <f ca="1"/>
        <v>#NAME?</v>
      </c>
      <c r="W33" s="1" t="e">
        <f ca="1"/>
        <v>#NAME?</v>
      </c>
      <c r="X33" s="1" t="e">
        <f ca="1"/>
        <v>#NAME?</v>
      </c>
      <c r="Y33" s="1" t="e">
        <f ca="1"/>
        <v>#NAME?</v>
      </c>
      <c r="Z33" s="1" t="e">
        <f ca="1"/>
        <v>#NAME?</v>
      </c>
      <c r="AA33" s="1" t="e">
        <f ca="1"/>
        <v>#NAME?</v>
      </c>
      <c r="AB33" s="1" t="e">
        <f ca="1"/>
        <v>#NAME?</v>
      </c>
      <c r="AC33" s="1" t="e">
        <f ca="1"/>
        <v>#NAME?</v>
      </c>
      <c r="AD33" s="1" t="e">
        <f ca="1"/>
        <v>#NAME?</v>
      </c>
      <c r="AE33" s="1" t="e">
        <f ca="1"/>
        <v>#NAME?</v>
      </c>
      <c r="AF33" s="1" t="e">
        <f ca="1"/>
        <v>#NAME?</v>
      </c>
      <c r="AG33" s="1" t="e">
        <f ca="1"/>
        <v>#NAME?</v>
      </c>
      <c r="AH33" s="1" t="e">
        <f ca="1"/>
        <v>#NAME?</v>
      </c>
      <c r="AI33" s="1" t="e">
        <f ca="1"/>
        <v>#NAME?</v>
      </c>
    </row>
    <row r="34" spans="1:35" ht="22.5" customHeight="1" x14ac:dyDescent="0.15">
      <c r="A34" s="1" t="str">
        <f ca="1">IFERROR(__xludf.DUMMYFUNCTION("""COMPUTED_VALUE"""),"謝嘉芫")</f>
        <v>謝嘉芫</v>
      </c>
      <c r="B34" s="1" t="str">
        <f ca="1">IFERROR(__xludf.DUMMYFUNCTION("""COMPUTED_VALUE"""),"生理男")</f>
        <v>生理男</v>
      </c>
      <c r="C34" s="1" t="str">
        <f ca="1">IFERROR(__xludf.DUMMYFUNCTION("""COMPUTED_VALUE"""),"31-35")</f>
        <v>31-35</v>
      </c>
      <c r="D34" s="1" t="str">
        <f ca="1">IFERROR(__xludf.DUMMYFUNCTION("""COMPUTED_VALUE"""),"新北市")</f>
        <v>新北市</v>
      </c>
      <c r="E34" s="1" t="str">
        <f ca="1">IFERROR(__xludf.DUMMYFUNCTION("""COMPUTED_VALUE"""),"廣告行銷")</f>
        <v>廣告行銷</v>
      </c>
      <c r="F34" s="3" t="e">
        <f t="array" aca="1" ref="F34:H34" ca="1">XLOOKUP(A34,'彼此影業 劇本盲測對象調查 - 盲測初選名單 (已自動連結)'!B:B,'彼此影業 劇本盲測對象調查 - 盲測初選名單 (已自動連結)'!H:J)</f>
        <v>#NAME?</v>
      </c>
      <c r="G34" s="1" t="e">
        <f ca="1"/>
        <v>#NAME?</v>
      </c>
      <c r="H34" s="1" t="e">
        <f ca="1"/>
        <v>#NAME?</v>
      </c>
      <c r="I34" s="4" t="e">
        <f t="array" aca="1" ref="I34:AI34" ca="1">XLOOKUP(A34,#REF!,#REF!)</f>
        <v>#NAME?</v>
      </c>
      <c r="J34" s="1" t="e">
        <f ca="1"/>
        <v>#NAME?</v>
      </c>
      <c r="K34" s="1" t="e">
        <f ca="1"/>
        <v>#NAME?</v>
      </c>
      <c r="L34" s="1" t="e">
        <f ca="1"/>
        <v>#NAME?</v>
      </c>
      <c r="M34" s="1" t="e">
        <f ca="1"/>
        <v>#NAME?</v>
      </c>
      <c r="N34" s="1" t="e">
        <f ca="1"/>
        <v>#NAME?</v>
      </c>
      <c r="O34" s="1" t="e">
        <f ca="1"/>
        <v>#NAME?</v>
      </c>
      <c r="P34" s="1" t="e">
        <f ca="1"/>
        <v>#NAME?</v>
      </c>
      <c r="Q34" s="1" t="e">
        <f ca="1"/>
        <v>#NAME?</v>
      </c>
      <c r="R34" s="1" t="e">
        <f ca="1"/>
        <v>#NAME?</v>
      </c>
      <c r="S34" s="1" t="e">
        <f ca="1"/>
        <v>#NAME?</v>
      </c>
      <c r="T34" s="1" t="e">
        <f ca="1"/>
        <v>#NAME?</v>
      </c>
      <c r="U34" s="1" t="e">
        <f ca="1"/>
        <v>#NAME?</v>
      </c>
      <c r="V34" s="1" t="e">
        <f ca="1"/>
        <v>#NAME?</v>
      </c>
      <c r="W34" s="1" t="e">
        <f ca="1"/>
        <v>#NAME?</v>
      </c>
      <c r="X34" s="1" t="e">
        <f ca="1"/>
        <v>#NAME?</v>
      </c>
      <c r="Y34" s="1" t="e">
        <f ca="1"/>
        <v>#NAME?</v>
      </c>
      <c r="Z34" s="1" t="e">
        <f ca="1"/>
        <v>#NAME?</v>
      </c>
      <c r="AA34" s="1" t="e">
        <f ca="1"/>
        <v>#NAME?</v>
      </c>
      <c r="AB34" s="1" t="e">
        <f ca="1"/>
        <v>#NAME?</v>
      </c>
      <c r="AC34" s="1" t="e">
        <f ca="1"/>
        <v>#NAME?</v>
      </c>
      <c r="AD34" s="1" t="e">
        <f ca="1"/>
        <v>#NAME?</v>
      </c>
      <c r="AE34" s="1" t="e">
        <f ca="1"/>
        <v>#NAME?</v>
      </c>
      <c r="AF34" s="1" t="e">
        <f ca="1"/>
        <v>#NAME?</v>
      </c>
      <c r="AG34" s="1" t="e">
        <f ca="1"/>
        <v>#NAME?</v>
      </c>
      <c r="AH34" s="1" t="e">
        <f ca="1"/>
        <v>#NAME?</v>
      </c>
      <c r="AI34" s="1" t="e">
        <f ca="1"/>
        <v>#NAME?</v>
      </c>
    </row>
    <row r="35" spans="1:35" ht="22.5" customHeight="1" x14ac:dyDescent="0.15">
      <c r="A35" s="1" t="str">
        <f ca="1">IFERROR(__xludf.DUMMYFUNCTION("""COMPUTED_VALUE"""),"陳巧孟")</f>
        <v>陳巧孟</v>
      </c>
      <c r="B35" s="1" t="str">
        <f ca="1">IFERROR(__xludf.DUMMYFUNCTION("""COMPUTED_VALUE"""),"生理女")</f>
        <v>生理女</v>
      </c>
      <c r="C35" s="1" t="str">
        <f ca="1">IFERROR(__xludf.DUMMYFUNCTION("""COMPUTED_VALUE"""),"26-30")</f>
        <v>26-30</v>
      </c>
      <c r="D35" s="1" t="str">
        <f ca="1">IFERROR(__xludf.DUMMYFUNCTION("""COMPUTED_VALUE"""),"台中市")</f>
        <v>台中市</v>
      </c>
      <c r="E35" s="1" t="str">
        <f ca="1">IFERROR(__xludf.DUMMYFUNCTION("""COMPUTED_VALUE"""),"房地產")</f>
        <v>房地產</v>
      </c>
      <c r="F35" s="3" t="e">
        <f t="array" aca="1" ref="F35:H35" ca="1">XLOOKUP(A35,'彼此影業 劇本盲測對象調查 - 盲測初選名單 (已自動連結)'!B:B,'彼此影業 劇本盲測對象調查 - 盲測初選名單 (已自動連結)'!H:J)</f>
        <v>#NAME?</v>
      </c>
      <c r="G35" s="1" t="e">
        <f ca="1"/>
        <v>#NAME?</v>
      </c>
      <c r="H35" s="1" t="e">
        <f ca="1"/>
        <v>#NAME?</v>
      </c>
      <c r="I35" s="4" t="e">
        <f t="array" aca="1" ref="I35:AI35" ca="1">XLOOKUP(A35,#REF!,#REF!)</f>
        <v>#NAME?</v>
      </c>
      <c r="J35" s="1" t="e">
        <f ca="1"/>
        <v>#NAME?</v>
      </c>
      <c r="K35" s="1" t="e">
        <f ca="1"/>
        <v>#NAME?</v>
      </c>
      <c r="L35" s="1" t="e">
        <f ca="1"/>
        <v>#NAME?</v>
      </c>
      <c r="M35" s="1" t="e">
        <f ca="1"/>
        <v>#NAME?</v>
      </c>
      <c r="N35" s="1" t="e">
        <f ca="1"/>
        <v>#NAME?</v>
      </c>
      <c r="O35" s="1" t="e">
        <f ca="1"/>
        <v>#NAME?</v>
      </c>
      <c r="P35" s="1" t="e">
        <f ca="1"/>
        <v>#NAME?</v>
      </c>
      <c r="Q35" s="1" t="e">
        <f ca="1"/>
        <v>#NAME?</v>
      </c>
      <c r="R35" s="1" t="e">
        <f ca="1"/>
        <v>#NAME?</v>
      </c>
      <c r="S35" s="1" t="e">
        <f ca="1"/>
        <v>#NAME?</v>
      </c>
      <c r="T35" s="1" t="e">
        <f ca="1"/>
        <v>#NAME?</v>
      </c>
      <c r="U35" s="1" t="e">
        <f ca="1"/>
        <v>#NAME?</v>
      </c>
      <c r="V35" s="1" t="e">
        <f ca="1"/>
        <v>#NAME?</v>
      </c>
      <c r="W35" s="1" t="e">
        <f ca="1"/>
        <v>#NAME?</v>
      </c>
      <c r="X35" s="1" t="e">
        <f ca="1"/>
        <v>#NAME?</v>
      </c>
      <c r="Y35" s="1" t="e">
        <f ca="1"/>
        <v>#NAME?</v>
      </c>
      <c r="Z35" s="1" t="e">
        <f ca="1"/>
        <v>#NAME?</v>
      </c>
      <c r="AA35" s="1" t="e">
        <f ca="1"/>
        <v>#NAME?</v>
      </c>
      <c r="AB35" s="1" t="e">
        <f ca="1"/>
        <v>#NAME?</v>
      </c>
      <c r="AC35" s="1" t="e">
        <f ca="1"/>
        <v>#NAME?</v>
      </c>
      <c r="AD35" s="1" t="e">
        <f ca="1"/>
        <v>#NAME?</v>
      </c>
      <c r="AE35" s="1" t="e">
        <f ca="1"/>
        <v>#NAME?</v>
      </c>
      <c r="AF35" s="1" t="e">
        <f ca="1"/>
        <v>#NAME?</v>
      </c>
      <c r="AG35" s="1" t="e">
        <f ca="1"/>
        <v>#NAME?</v>
      </c>
      <c r="AH35" s="1" t="e">
        <f ca="1"/>
        <v>#NAME?</v>
      </c>
      <c r="AI35" s="1" t="e">
        <f ca="1"/>
        <v>#NAME?</v>
      </c>
    </row>
    <row r="36" spans="1:35" ht="22.5" customHeight="1" x14ac:dyDescent="0.15">
      <c r="A36" s="1" t="str">
        <f ca="1">IFERROR(__xludf.DUMMYFUNCTION("""COMPUTED_VALUE"""),"郭冠璟")</f>
        <v>郭冠璟</v>
      </c>
      <c r="B36" s="1" t="str">
        <f ca="1">IFERROR(__xludf.DUMMYFUNCTION("""COMPUTED_VALUE"""),"生理女")</f>
        <v>生理女</v>
      </c>
      <c r="C36" s="1" t="str">
        <f ca="1">IFERROR(__xludf.DUMMYFUNCTION("""COMPUTED_VALUE"""),"21-25")</f>
        <v>21-25</v>
      </c>
      <c r="D36" s="1" t="str">
        <f ca="1">IFERROR(__xludf.DUMMYFUNCTION("""COMPUTED_VALUE"""),"新北市")</f>
        <v>新北市</v>
      </c>
      <c r="E36" s="1" t="str">
        <f ca="1">IFERROR(__xludf.DUMMYFUNCTION("""COMPUTED_VALUE"""),"法律系")</f>
        <v>法律系</v>
      </c>
      <c r="F36" s="3" t="e">
        <f t="array" aca="1" ref="F36:H36" ca="1">XLOOKUP(A36,'彼此影業 劇本盲測對象調查 - 盲測初選名單 (已自動連結)'!B:B,'彼此影業 劇本盲測對象調查 - 盲測初選名單 (已自動連結)'!H:J)</f>
        <v>#NAME?</v>
      </c>
      <c r="G36" s="1" t="e">
        <f ca="1"/>
        <v>#NAME?</v>
      </c>
      <c r="H36" s="1" t="e">
        <f ca="1"/>
        <v>#NAME?</v>
      </c>
      <c r="I36" s="4" t="e">
        <f t="array" aca="1" ref="I36:AI36" ca="1">XLOOKUP(A36,#REF!,#REF!)</f>
        <v>#NAME?</v>
      </c>
      <c r="J36" s="1" t="e">
        <f ca="1"/>
        <v>#NAME?</v>
      </c>
      <c r="K36" s="1" t="e">
        <f ca="1"/>
        <v>#NAME?</v>
      </c>
      <c r="L36" s="1" t="e">
        <f ca="1"/>
        <v>#NAME?</v>
      </c>
      <c r="M36" s="1" t="e">
        <f ca="1"/>
        <v>#NAME?</v>
      </c>
      <c r="N36" s="1" t="e">
        <f ca="1"/>
        <v>#NAME?</v>
      </c>
      <c r="O36" s="1" t="e">
        <f ca="1"/>
        <v>#NAME?</v>
      </c>
      <c r="P36" s="1" t="e">
        <f ca="1"/>
        <v>#NAME?</v>
      </c>
      <c r="Q36" s="1" t="e">
        <f ca="1"/>
        <v>#NAME?</v>
      </c>
      <c r="R36" s="1" t="e">
        <f ca="1"/>
        <v>#NAME?</v>
      </c>
      <c r="S36" s="1" t="e">
        <f ca="1"/>
        <v>#NAME?</v>
      </c>
      <c r="T36" s="1" t="e">
        <f ca="1"/>
        <v>#NAME?</v>
      </c>
      <c r="U36" s="1" t="e">
        <f ca="1"/>
        <v>#NAME?</v>
      </c>
      <c r="V36" s="1" t="e">
        <f ca="1"/>
        <v>#NAME?</v>
      </c>
      <c r="W36" s="1" t="e">
        <f ca="1"/>
        <v>#NAME?</v>
      </c>
      <c r="X36" s="1" t="e">
        <f ca="1"/>
        <v>#NAME?</v>
      </c>
      <c r="Y36" s="1" t="e">
        <f ca="1"/>
        <v>#NAME?</v>
      </c>
      <c r="Z36" s="1" t="e">
        <f ca="1"/>
        <v>#NAME?</v>
      </c>
      <c r="AA36" s="1" t="e">
        <f ca="1"/>
        <v>#NAME?</v>
      </c>
      <c r="AB36" s="1" t="e">
        <f ca="1"/>
        <v>#NAME?</v>
      </c>
      <c r="AC36" s="1" t="e">
        <f ca="1"/>
        <v>#NAME?</v>
      </c>
      <c r="AD36" s="1" t="e">
        <f ca="1"/>
        <v>#NAME?</v>
      </c>
      <c r="AE36" s="1" t="e">
        <f ca="1"/>
        <v>#NAME?</v>
      </c>
      <c r="AF36" s="1" t="e">
        <f ca="1"/>
        <v>#NAME?</v>
      </c>
      <c r="AG36" s="1" t="e">
        <f ca="1"/>
        <v>#NAME?</v>
      </c>
      <c r="AH36" s="1" t="e">
        <f ca="1"/>
        <v>#NAME?</v>
      </c>
      <c r="AI36" s="1" t="e">
        <f ca="1"/>
        <v>#NAME?</v>
      </c>
    </row>
    <row r="37" spans="1:35" ht="22.5" customHeight="1" x14ac:dyDescent="0.15">
      <c r="A37" s="1" t="str">
        <f ca="1">IFERROR(__xludf.DUMMYFUNCTION("""COMPUTED_VALUE"""),"呂存笙")</f>
        <v>呂存笙</v>
      </c>
      <c r="B37" s="1" t="str">
        <f ca="1">IFERROR(__xludf.DUMMYFUNCTION("""COMPUTED_VALUE"""),"生理男")</f>
        <v>生理男</v>
      </c>
      <c r="C37" s="1" t="str">
        <f ca="1">IFERROR(__xludf.DUMMYFUNCTION("""COMPUTED_VALUE"""),"21-25")</f>
        <v>21-25</v>
      </c>
      <c r="D37" s="1" t="str">
        <f ca="1">IFERROR(__xludf.DUMMYFUNCTION("""COMPUTED_VALUE"""),"台中市")</f>
        <v>台中市</v>
      </c>
      <c r="E37" s="1" t="str">
        <f ca="1">IFERROR(__xludf.DUMMYFUNCTION("""COMPUTED_VALUE"""),"中醫系")</f>
        <v>中醫系</v>
      </c>
      <c r="F37" s="3" t="e">
        <f t="array" aca="1" ref="F37:H37" ca="1">XLOOKUP(A37,'彼此影業 劇本盲測對象調查 - 盲測初選名單 (已自動連結)'!B:B,'彼此影業 劇本盲測對象調查 - 盲測初選名單 (已自動連結)'!H:J)</f>
        <v>#NAME?</v>
      </c>
      <c r="G37" s="1" t="e">
        <f ca="1"/>
        <v>#NAME?</v>
      </c>
      <c r="H37" s="1" t="e">
        <f ca="1"/>
        <v>#NAME?</v>
      </c>
      <c r="I37" s="4" t="e">
        <f t="array" aca="1" ref="I37:AI37" ca="1">XLOOKUP(A37,#REF!,#REF!)</f>
        <v>#NAME?</v>
      </c>
      <c r="J37" s="1" t="e">
        <f ca="1"/>
        <v>#NAME?</v>
      </c>
      <c r="K37" s="1" t="e">
        <f ca="1"/>
        <v>#NAME?</v>
      </c>
      <c r="L37" s="1" t="e">
        <f ca="1"/>
        <v>#NAME?</v>
      </c>
      <c r="M37" s="1" t="e">
        <f ca="1"/>
        <v>#NAME?</v>
      </c>
      <c r="N37" s="1" t="e">
        <f ca="1"/>
        <v>#NAME?</v>
      </c>
      <c r="O37" s="1" t="e">
        <f ca="1"/>
        <v>#NAME?</v>
      </c>
      <c r="P37" s="1" t="e">
        <f ca="1"/>
        <v>#NAME?</v>
      </c>
      <c r="Q37" s="1" t="e">
        <f ca="1"/>
        <v>#NAME?</v>
      </c>
      <c r="R37" s="1" t="e">
        <f ca="1"/>
        <v>#NAME?</v>
      </c>
      <c r="S37" s="1" t="e">
        <f ca="1"/>
        <v>#NAME?</v>
      </c>
      <c r="T37" s="1" t="e">
        <f ca="1"/>
        <v>#NAME?</v>
      </c>
      <c r="U37" s="1" t="e">
        <f ca="1"/>
        <v>#NAME?</v>
      </c>
      <c r="V37" s="1" t="e">
        <f ca="1"/>
        <v>#NAME?</v>
      </c>
      <c r="W37" s="1" t="e">
        <f ca="1"/>
        <v>#NAME?</v>
      </c>
      <c r="X37" s="1" t="e">
        <f ca="1"/>
        <v>#NAME?</v>
      </c>
      <c r="Y37" s="1" t="e">
        <f ca="1"/>
        <v>#NAME?</v>
      </c>
      <c r="Z37" s="1" t="e">
        <f ca="1"/>
        <v>#NAME?</v>
      </c>
      <c r="AA37" s="1" t="e">
        <f ca="1"/>
        <v>#NAME?</v>
      </c>
      <c r="AB37" s="1" t="e">
        <f ca="1"/>
        <v>#NAME?</v>
      </c>
      <c r="AC37" s="1" t="e">
        <f ca="1"/>
        <v>#NAME?</v>
      </c>
      <c r="AD37" s="1" t="e">
        <f ca="1"/>
        <v>#NAME?</v>
      </c>
      <c r="AE37" s="1" t="e">
        <f ca="1"/>
        <v>#NAME?</v>
      </c>
      <c r="AF37" s="1" t="e">
        <f ca="1"/>
        <v>#NAME?</v>
      </c>
      <c r="AG37" s="1" t="e">
        <f ca="1"/>
        <v>#NAME?</v>
      </c>
      <c r="AH37" s="1" t="e">
        <f ca="1"/>
        <v>#NAME?</v>
      </c>
      <c r="AI37" s="1" t="e">
        <f ca="1"/>
        <v>#NAME?</v>
      </c>
    </row>
    <row r="38" spans="1:35" ht="22.5" customHeight="1" x14ac:dyDescent="0.15">
      <c r="A38" s="1" t="str">
        <f ca="1">IFERROR(__xludf.DUMMYFUNCTION("""COMPUTED_VALUE"""),"李莉穎")</f>
        <v>李莉穎</v>
      </c>
      <c r="B38" s="1" t="str">
        <f ca="1">IFERROR(__xludf.DUMMYFUNCTION("""COMPUTED_VALUE"""),"生理女")</f>
        <v>生理女</v>
      </c>
      <c r="C38" s="1" t="str">
        <f ca="1">IFERROR(__xludf.DUMMYFUNCTION("""COMPUTED_VALUE"""),"31-35")</f>
        <v>31-35</v>
      </c>
      <c r="D38" s="1" t="str">
        <f ca="1">IFERROR(__xludf.DUMMYFUNCTION("""COMPUTED_VALUE"""),"基隆市")</f>
        <v>基隆市</v>
      </c>
      <c r="E38" s="1" t="str">
        <f ca="1">IFERROR(__xludf.DUMMYFUNCTION("""COMPUTED_VALUE"""),"教育")</f>
        <v>教育</v>
      </c>
      <c r="F38" s="3" t="e">
        <f t="array" aca="1" ref="F38:H38" ca="1">XLOOKUP(A38,'彼此影業 劇本盲測對象調查 - 盲測初選名單 (已自動連結)'!B:B,'彼此影業 劇本盲測對象調查 - 盲測初選名單 (已自動連結)'!H:J)</f>
        <v>#NAME?</v>
      </c>
      <c r="G38" s="1" t="e">
        <f ca="1"/>
        <v>#NAME?</v>
      </c>
      <c r="H38" s="1" t="e">
        <f ca="1"/>
        <v>#NAME?</v>
      </c>
      <c r="I38" s="4" t="e">
        <f t="array" aca="1" ref="I38:AI38" ca="1">XLOOKUP(A38,#REF!,#REF!)</f>
        <v>#NAME?</v>
      </c>
      <c r="J38" s="1" t="e">
        <f ca="1"/>
        <v>#NAME?</v>
      </c>
      <c r="K38" s="1" t="e">
        <f ca="1"/>
        <v>#NAME?</v>
      </c>
      <c r="L38" s="1" t="e">
        <f ca="1"/>
        <v>#NAME?</v>
      </c>
      <c r="M38" s="1" t="e">
        <f ca="1"/>
        <v>#NAME?</v>
      </c>
      <c r="N38" s="1" t="e">
        <f ca="1"/>
        <v>#NAME?</v>
      </c>
      <c r="O38" s="1" t="e">
        <f ca="1"/>
        <v>#NAME?</v>
      </c>
      <c r="P38" s="1" t="e">
        <f ca="1"/>
        <v>#NAME?</v>
      </c>
      <c r="Q38" s="1" t="e">
        <f ca="1"/>
        <v>#NAME?</v>
      </c>
      <c r="R38" s="1" t="e">
        <f ca="1"/>
        <v>#NAME?</v>
      </c>
      <c r="S38" s="1" t="e">
        <f ca="1"/>
        <v>#NAME?</v>
      </c>
      <c r="T38" s="1" t="e">
        <f ca="1"/>
        <v>#NAME?</v>
      </c>
      <c r="U38" s="1" t="e">
        <f ca="1"/>
        <v>#NAME?</v>
      </c>
      <c r="V38" s="1" t="e">
        <f ca="1"/>
        <v>#NAME?</v>
      </c>
      <c r="W38" s="1" t="e">
        <f ca="1"/>
        <v>#NAME?</v>
      </c>
      <c r="X38" s="1" t="e">
        <f ca="1"/>
        <v>#NAME?</v>
      </c>
      <c r="Y38" s="1" t="e">
        <f ca="1"/>
        <v>#NAME?</v>
      </c>
      <c r="Z38" s="1" t="e">
        <f ca="1"/>
        <v>#NAME?</v>
      </c>
      <c r="AA38" s="1" t="e">
        <f ca="1"/>
        <v>#NAME?</v>
      </c>
      <c r="AB38" s="1" t="e">
        <f ca="1"/>
        <v>#NAME?</v>
      </c>
      <c r="AC38" s="1" t="e">
        <f ca="1"/>
        <v>#NAME?</v>
      </c>
      <c r="AD38" s="1" t="e">
        <f ca="1"/>
        <v>#NAME?</v>
      </c>
      <c r="AE38" s="1" t="e">
        <f ca="1"/>
        <v>#NAME?</v>
      </c>
      <c r="AF38" s="1" t="e">
        <f ca="1"/>
        <v>#NAME?</v>
      </c>
      <c r="AG38" s="1" t="e">
        <f ca="1"/>
        <v>#NAME?</v>
      </c>
      <c r="AH38" s="1" t="e">
        <f ca="1"/>
        <v>#NAME?</v>
      </c>
      <c r="AI38" s="1" t="e">
        <f ca="1"/>
        <v>#NAME?</v>
      </c>
    </row>
    <row r="39" spans="1:35" ht="22.5" customHeight="1" x14ac:dyDescent="0.15">
      <c r="A39" s="1"/>
      <c r="B39" s="1"/>
      <c r="C39" s="1"/>
      <c r="D39" s="1"/>
      <c r="E39" s="1"/>
      <c r="F39" s="3" t="e">
        <f t="array" aca="1" ref="F39" ca="1">XLOOKUP(A39,'彼此影業 劇本盲測對象調查 - 盲測初選名單 (已自動連結)'!B:B,'彼此影業 劇本盲測對象調查 - 盲測初選名單 (已自動連結)'!H:J)</f>
        <v>#NAME?</v>
      </c>
      <c r="G39" s="1"/>
      <c r="H39" s="1"/>
      <c r="I39" s="4" t="e">
        <f t="array" aca="1" ref="I39" ca="1">XLOOKUP(A39,#REF!,#REF!)</f>
        <v>#NAME?</v>
      </c>
      <c r="J39" s="1"/>
      <c r="K39" s="1"/>
      <c r="L39" s="1"/>
      <c r="M39" s="1"/>
      <c r="N39" s="1"/>
      <c r="O39" s="1"/>
      <c r="P39" s="1"/>
      <c r="Q39" s="1"/>
      <c r="R39" s="1"/>
      <c r="S39" s="1"/>
      <c r="T39" s="1"/>
      <c r="U39" s="1"/>
      <c r="V39" s="1"/>
      <c r="W39" s="1"/>
      <c r="X39" s="1"/>
      <c r="Y39" s="1"/>
      <c r="Z39" s="1"/>
      <c r="AA39" s="1"/>
      <c r="AB39" s="1"/>
      <c r="AC39" s="1"/>
      <c r="AD39" s="1"/>
      <c r="AE39" s="1"/>
      <c r="AF39" s="1"/>
      <c r="AG39" s="1"/>
      <c r="AH39" s="1"/>
      <c r="AI39" s="1"/>
    </row>
    <row r="40" spans="1:35" ht="22.5" customHeight="1" x14ac:dyDescent="0.15">
      <c r="A40" s="1"/>
      <c r="B40" s="1"/>
      <c r="C40" s="1"/>
      <c r="D40" s="1"/>
      <c r="E40" s="1"/>
      <c r="F40" s="3" t="e">
        <f t="array" aca="1" ref="F40" ca="1">XLOOKUP(A40,'彼此影業 劇本盲測對象調查 - 盲測初選名單 (已自動連結)'!B:B,'彼此影業 劇本盲測對象調查 - 盲測初選名單 (已自動連結)'!H:J)</f>
        <v>#NAME?</v>
      </c>
      <c r="G40" s="1"/>
      <c r="H40" s="1"/>
      <c r="I40" s="4" t="e">
        <f t="array" aca="1" ref="I40" ca="1">XLOOKUP(A40,#REF!,#REF!)</f>
        <v>#NAME?</v>
      </c>
      <c r="J40" s="1"/>
      <c r="K40" s="1"/>
      <c r="L40" s="1"/>
      <c r="M40" s="1"/>
      <c r="N40" s="1"/>
      <c r="O40" s="1"/>
      <c r="P40" s="1"/>
      <c r="Q40" s="1"/>
      <c r="R40" s="1"/>
      <c r="S40" s="1"/>
      <c r="T40" s="1"/>
      <c r="U40" s="1"/>
      <c r="V40" s="1"/>
      <c r="W40" s="1"/>
      <c r="X40" s="1"/>
      <c r="Y40" s="1"/>
      <c r="Z40" s="1"/>
      <c r="AA40" s="1"/>
      <c r="AB40" s="1"/>
      <c r="AC40" s="1"/>
      <c r="AD40" s="1"/>
      <c r="AE40" s="1"/>
      <c r="AF40" s="1"/>
      <c r="AG40" s="1"/>
      <c r="AH40" s="1"/>
      <c r="AI40" s="1"/>
    </row>
    <row r="41" spans="1:35" ht="22.5" customHeight="1" x14ac:dyDescent="0.15">
      <c r="A41" s="1"/>
      <c r="B41" s="1"/>
      <c r="C41" s="1"/>
      <c r="D41" s="1"/>
      <c r="E41" s="1"/>
      <c r="F41" s="3" t="e">
        <f t="array" aca="1" ref="F41" ca="1">XLOOKUP(A41,'彼此影業 劇本盲測對象調查 - 盲測初選名單 (已自動連結)'!B:B,'彼此影業 劇本盲測對象調查 - 盲測初選名單 (已自動連結)'!H:J)</f>
        <v>#NAME?</v>
      </c>
      <c r="G41" s="1"/>
      <c r="H41" s="1"/>
      <c r="I41" s="4" t="e">
        <f t="array" aca="1" ref="I41" ca="1">XLOOKUP(A41,#REF!,#REF!)</f>
        <v>#NAME?</v>
      </c>
      <c r="J41" s="1"/>
      <c r="K41" s="1"/>
      <c r="L41" s="1"/>
      <c r="M41" s="1"/>
      <c r="N41" s="1"/>
      <c r="O41" s="1"/>
      <c r="P41" s="1"/>
      <c r="Q41" s="1"/>
      <c r="R41" s="1"/>
      <c r="S41" s="1"/>
      <c r="T41" s="1"/>
      <c r="U41" s="1"/>
      <c r="V41" s="1"/>
      <c r="W41" s="1"/>
      <c r="X41" s="1"/>
      <c r="Y41" s="1"/>
      <c r="Z41" s="1"/>
      <c r="AA41" s="1"/>
      <c r="AB41" s="1"/>
      <c r="AC41" s="1"/>
      <c r="AD41" s="1"/>
      <c r="AE41" s="1"/>
      <c r="AF41" s="1"/>
      <c r="AG41" s="1"/>
      <c r="AH41" s="1"/>
      <c r="AI41" s="1"/>
    </row>
    <row r="42" spans="1:35" ht="22.5" customHeight="1" x14ac:dyDescent="0.15">
      <c r="A42" s="1"/>
      <c r="B42" s="1"/>
      <c r="C42" s="1"/>
      <c r="D42" s="1"/>
      <c r="E42" s="1"/>
      <c r="F42" s="3" t="e">
        <f t="array" aca="1" ref="F42" ca="1">XLOOKUP(A42,'彼此影業 劇本盲測對象調查 - 盲測初選名單 (已自動連結)'!B:B,'彼此影業 劇本盲測對象調查 - 盲測初選名單 (已自動連結)'!H:J)</f>
        <v>#NAME?</v>
      </c>
      <c r="G42" s="1"/>
      <c r="H42" s="1"/>
      <c r="I42" s="4" t="e">
        <f t="array" aca="1" ref="I42" ca="1">XLOOKUP(A42,#REF!,#REF!)</f>
        <v>#NAME?</v>
      </c>
      <c r="J42" s="1"/>
      <c r="K42" s="1"/>
      <c r="L42" s="1"/>
      <c r="M42" s="1"/>
      <c r="N42" s="1"/>
      <c r="O42" s="1"/>
      <c r="P42" s="1"/>
      <c r="Q42" s="1"/>
      <c r="R42" s="1"/>
      <c r="S42" s="1"/>
      <c r="T42" s="1"/>
      <c r="U42" s="1"/>
      <c r="V42" s="1"/>
      <c r="W42" s="1"/>
      <c r="X42" s="1"/>
      <c r="Y42" s="1"/>
      <c r="Z42" s="1"/>
      <c r="AA42" s="1"/>
      <c r="AB42" s="1"/>
      <c r="AC42" s="1"/>
      <c r="AD42" s="1"/>
      <c r="AE42" s="1"/>
      <c r="AF42" s="1"/>
      <c r="AG42" s="1"/>
      <c r="AH42" s="1"/>
      <c r="AI42" s="1"/>
    </row>
    <row r="43" spans="1:35" ht="22.5" customHeight="1" x14ac:dyDescent="0.15">
      <c r="A43" s="1"/>
      <c r="B43" s="1"/>
      <c r="C43" s="1"/>
      <c r="D43" s="1"/>
      <c r="E43" s="1"/>
      <c r="F43" s="3" t="e">
        <f t="array" aca="1" ref="F43" ca="1">XLOOKUP(A43,'彼此影業 劇本盲測對象調查 - 盲測初選名單 (已自動連結)'!B:B,'彼此影業 劇本盲測對象調查 - 盲測初選名單 (已自動連結)'!H:J)</f>
        <v>#NAME?</v>
      </c>
      <c r="G43" s="1"/>
      <c r="H43" s="1"/>
      <c r="I43" s="4" t="e">
        <f t="array" aca="1" ref="I43" ca="1">XLOOKUP(A43,#REF!,#REF!)</f>
        <v>#NAME?</v>
      </c>
      <c r="J43" s="1"/>
      <c r="K43" s="1"/>
      <c r="L43" s="1"/>
      <c r="M43" s="1"/>
      <c r="N43" s="1"/>
      <c r="O43" s="1"/>
      <c r="P43" s="1"/>
      <c r="Q43" s="1"/>
      <c r="R43" s="1"/>
      <c r="S43" s="1"/>
      <c r="T43" s="1"/>
      <c r="U43" s="1"/>
      <c r="V43" s="1"/>
      <c r="W43" s="1"/>
      <c r="X43" s="1"/>
      <c r="Y43" s="1"/>
      <c r="Z43" s="1"/>
      <c r="AA43" s="1"/>
      <c r="AB43" s="1"/>
      <c r="AC43" s="1"/>
      <c r="AD43" s="1"/>
      <c r="AE43" s="1"/>
      <c r="AF43" s="1"/>
      <c r="AG43" s="1"/>
      <c r="AH43" s="1"/>
      <c r="AI43" s="1"/>
    </row>
    <row r="44" spans="1:35" ht="22.5" customHeight="1" x14ac:dyDescent="0.15">
      <c r="A44" s="1"/>
      <c r="B44" s="1"/>
      <c r="C44" s="1"/>
      <c r="D44" s="1"/>
      <c r="E44" s="1"/>
      <c r="F44" s="3" t="e">
        <f t="array" aca="1" ref="F44" ca="1">XLOOKUP(A44,'彼此影業 劇本盲測對象調查 - 盲測初選名單 (已自動連結)'!B:B,'彼此影業 劇本盲測對象調查 - 盲測初選名單 (已自動連結)'!H:J)</f>
        <v>#NAME?</v>
      </c>
      <c r="G44" s="1"/>
      <c r="H44" s="1"/>
      <c r="I44" s="4" t="e">
        <f t="array" aca="1" ref="I44" ca="1">XLOOKUP(A44,#REF!,#REF!)</f>
        <v>#NAME?</v>
      </c>
      <c r="J44" s="1"/>
      <c r="K44" s="1"/>
      <c r="L44" s="1"/>
      <c r="M44" s="1"/>
      <c r="N44" s="1"/>
      <c r="O44" s="1"/>
      <c r="P44" s="1"/>
      <c r="Q44" s="1"/>
      <c r="R44" s="1"/>
      <c r="S44" s="1"/>
      <c r="T44" s="1"/>
      <c r="U44" s="1"/>
      <c r="V44" s="1"/>
      <c r="W44" s="1"/>
      <c r="X44" s="1"/>
      <c r="Y44" s="1"/>
      <c r="Z44" s="1"/>
      <c r="AA44" s="1"/>
      <c r="AB44" s="1"/>
      <c r="AC44" s="1"/>
      <c r="AD44" s="1"/>
      <c r="AE44" s="1"/>
      <c r="AF44" s="1"/>
      <c r="AG44" s="1"/>
      <c r="AH44" s="1"/>
      <c r="AI44" s="1"/>
    </row>
    <row r="45" spans="1:35" ht="22.5" customHeight="1" x14ac:dyDescent="0.15">
      <c r="A45" s="1"/>
      <c r="B45" s="1"/>
      <c r="C45" s="1"/>
      <c r="D45" s="1"/>
      <c r="E45" s="1"/>
      <c r="F45" s="3" t="e">
        <f t="array" aca="1" ref="F45" ca="1">XLOOKUP(A45,'彼此影業 劇本盲測對象調查 - 盲測初選名單 (已自動連結)'!B:B,'彼此影業 劇本盲測對象調查 - 盲測初選名單 (已自動連結)'!H:J)</f>
        <v>#NAME?</v>
      </c>
      <c r="G45" s="1"/>
      <c r="H45" s="1"/>
      <c r="I45" s="4" t="e">
        <f t="array" aca="1" ref="I45" ca="1">XLOOKUP(A45,#REF!,#REF!)</f>
        <v>#NAME?</v>
      </c>
      <c r="J45" s="1"/>
      <c r="K45" s="1"/>
      <c r="L45" s="1"/>
      <c r="M45" s="1"/>
      <c r="N45" s="1"/>
      <c r="O45" s="1"/>
      <c r="P45" s="1"/>
      <c r="Q45" s="1"/>
      <c r="R45" s="1"/>
      <c r="S45" s="1"/>
      <c r="T45" s="1"/>
      <c r="U45" s="1"/>
      <c r="V45" s="1"/>
      <c r="W45" s="1"/>
      <c r="X45" s="1"/>
      <c r="Y45" s="1"/>
      <c r="Z45" s="1"/>
      <c r="AA45" s="1"/>
      <c r="AB45" s="1"/>
      <c r="AC45" s="1"/>
      <c r="AD45" s="1"/>
      <c r="AE45" s="1"/>
      <c r="AF45" s="1"/>
      <c r="AG45" s="1"/>
      <c r="AH45" s="1"/>
      <c r="AI45" s="1"/>
    </row>
    <row r="46" spans="1:35" ht="22.5" customHeight="1" x14ac:dyDescent="0.15">
      <c r="A46" s="1"/>
      <c r="B46" s="1"/>
      <c r="C46" s="1"/>
      <c r="D46" s="1"/>
      <c r="E46" s="1"/>
      <c r="F46" s="3" t="e">
        <f t="array" aca="1" ref="F46" ca="1">XLOOKUP(A46,'彼此影業 劇本盲測對象調查 - 盲測初選名單 (已自動連結)'!B:B,'彼此影業 劇本盲測對象調查 - 盲測初選名單 (已自動連結)'!H:J)</f>
        <v>#NAME?</v>
      </c>
      <c r="G46" s="1"/>
      <c r="H46" s="1"/>
      <c r="I46" s="4" t="e">
        <f t="array" aca="1" ref="I46" ca="1">XLOOKUP(A46,#REF!,#REF!)</f>
        <v>#NAME?</v>
      </c>
      <c r="J46" s="1"/>
      <c r="K46" s="1"/>
      <c r="L46" s="1"/>
      <c r="M46" s="1"/>
      <c r="N46" s="1"/>
      <c r="O46" s="1"/>
      <c r="P46" s="1"/>
      <c r="Q46" s="1"/>
      <c r="R46" s="1"/>
      <c r="S46" s="1"/>
      <c r="T46" s="1"/>
      <c r="U46" s="1"/>
      <c r="V46" s="1"/>
      <c r="W46" s="1"/>
      <c r="X46" s="1"/>
      <c r="Y46" s="1"/>
      <c r="Z46" s="1"/>
      <c r="AA46" s="1"/>
      <c r="AB46" s="1"/>
      <c r="AC46" s="1"/>
      <c r="AD46" s="1"/>
      <c r="AE46" s="1"/>
      <c r="AF46" s="1"/>
      <c r="AG46" s="1"/>
      <c r="AH46" s="1"/>
      <c r="AI46" s="1"/>
    </row>
    <row r="47" spans="1:35" ht="22.5" customHeight="1" x14ac:dyDescent="0.15">
      <c r="A47" s="1"/>
      <c r="B47" s="1"/>
      <c r="C47" s="1"/>
      <c r="D47" s="1"/>
      <c r="E47" s="1"/>
      <c r="F47" s="3" t="e">
        <f t="array" aca="1" ref="F47" ca="1">XLOOKUP(A47,'彼此影業 劇本盲測對象調查 - 盲測初選名單 (已自動連結)'!B:B,'彼此影業 劇本盲測對象調查 - 盲測初選名單 (已自動連結)'!H:J)</f>
        <v>#NAME?</v>
      </c>
      <c r="G47" s="1"/>
      <c r="H47" s="1"/>
      <c r="I47" s="4" t="e">
        <f t="array" aca="1" ref="I47" ca="1">XLOOKUP(A47,#REF!,#REF!)</f>
        <v>#NAME?</v>
      </c>
      <c r="J47" s="1"/>
      <c r="K47" s="1"/>
      <c r="L47" s="1"/>
      <c r="M47" s="1"/>
      <c r="N47" s="1"/>
      <c r="O47" s="1"/>
      <c r="P47" s="1"/>
      <c r="Q47" s="1"/>
      <c r="R47" s="1"/>
      <c r="S47" s="1"/>
      <c r="T47" s="1"/>
      <c r="U47" s="1"/>
      <c r="V47" s="1"/>
      <c r="W47" s="1"/>
      <c r="X47" s="1"/>
      <c r="Y47" s="1"/>
      <c r="Z47" s="1"/>
      <c r="AA47" s="1"/>
      <c r="AB47" s="1"/>
      <c r="AC47" s="1"/>
      <c r="AD47" s="1"/>
      <c r="AE47" s="1"/>
      <c r="AF47" s="1"/>
      <c r="AG47" s="1"/>
      <c r="AH47" s="1"/>
      <c r="AI47" s="1"/>
    </row>
    <row r="48" spans="1:35" ht="22.5" customHeight="1" x14ac:dyDescent="0.15">
      <c r="A48" s="1"/>
      <c r="B48" s="1"/>
      <c r="C48" s="1"/>
      <c r="D48" s="1"/>
      <c r="E48" s="1"/>
      <c r="F48" s="3" t="e">
        <f t="array" aca="1" ref="F48" ca="1">XLOOKUP(A48,'彼此影業 劇本盲測對象調查 - 盲測初選名單 (已自動連結)'!B:B,'彼此影業 劇本盲測對象調查 - 盲測初選名單 (已自動連結)'!H:J)</f>
        <v>#NAME?</v>
      </c>
      <c r="G48" s="1"/>
      <c r="H48" s="1"/>
      <c r="I48" s="4" t="e">
        <f t="array" aca="1" ref="I48" ca="1">XLOOKUP(A48,#REF!,#REF!)</f>
        <v>#NAME?</v>
      </c>
      <c r="J48" s="1"/>
      <c r="K48" s="1"/>
      <c r="L48" s="1"/>
      <c r="M48" s="1"/>
      <c r="N48" s="1"/>
      <c r="O48" s="1"/>
      <c r="P48" s="1"/>
      <c r="Q48" s="1"/>
      <c r="R48" s="1"/>
      <c r="S48" s="1"/>
      <c r="T48" s="1"/>
      <c r="U48" s="1"/>
      <c r="V48" s="1"/>
      <c r="W48" s="1"/>
      <c r="X48" s="1"/>
      <c r="Y48" s="1"/>
      <c r="Z48" s="1"/>
      <c r="AA48" s="1"/>
      <c r="AB48" s="1"/>
      <c r="AC48" s="1"/>
      <c r="AD48" s="1"/>
      <c r="AE48" s="1"/>
      <c r="AF48" s="1"/>
      <c r="AG48" s="1"/>
      <c r="AH48" s="1"/>
      <c r="AI48" s="1"/>
    </row>
    <row r="49" spans="1:35" ht="22.5" customHeight="1" x14ac:dyDescent="0.15">
      <c r="A49" s="1"/>
      <c r="B49" s="1"/>
      <c r="C49" s="1"/>
      <c r="D49" s="1"/>
      <c r="E49" s="1"/>
      <c r="F49" s="3" t="e">
        <f t="array" aca="1" ref="F49" ca="1">XLOOKUP(A49,'彼此影業 劇本盲測對象調查 - 盲測初選名單 (已自動連結)'!B:B,'彼此影業 劇本盲測對象調查 - 盲測初選名單 (已自動連結)'!H:J)</f>
        <v>#NAME?</v>
      </c>
      <c r="G49" s="1"/>
      <c r="H49" s="1"/>
      <c r="I49" s="4" t="e">
        <f t="array" aca="1" ref="I49" ca="1">XLOOKUP(A49,#REF!,#REF!)</f>
        <v>#NAME?</v>
      </c>
      <c r="J49" s="1"/>
      <c r="K49" s="1"/>
      <c r="L49" s="1"/>
      <c r="M49" s="1"/>
      <c r="N49" s="1"/>
      <c r="O49" s="1"/>
      <c r="P49" s="1"/>
      <c r="Q49" s="1"/>
      <c r="R49" s="1"/>
      <c r="S49" s="1"/>
      <c r="T49" s="1"/>
      <c r="U49" s="1"/>
      <c r="V49" s="1"/>
      <c r="W49" s="1"/>
      <c r="X49" s="1"/>
      <c r="Y49" s="1"/>
      <c r="Z49" s="1"/>
      <c r="AA49" s="1"/>
      <c r="AB49" s="1"/>
      <c r="AC49" s="1"/>
      <c r="AD49" s="1"/>
      <c r="AE49" s="1"/>
      <c r="AF49" s="1"/>
      <c r="AG49" s="1"/>
      <c r="AH49" s="1"/>
      <c r="AI49" s="1"/>
    </row>
    <row r="50" spans="1:35" ht="22.5" customHeight="1" x14ac:dyDescent="0.15">
      <c r="A50" s="1"/>
      <c r="B50" s="1"/>
      <c r="C50" s="1"/>
      <c r="D50" s="1"/>
      <c r="E50" s="1"/>
      <c r="F50" s="3" t="e">
        <f t="array" aca="1" ref="F50" ca="1">XLOOKUP(A50,'彼此影業 劇本盲測對象調查 - 盲測初選名單 (已自動連結)'!B:B,'彼此影業 劇本盲測對象調查 - 盲測初選名單 (已自動連結)'!H:J)</f>
        <v>#NAME?</v>
      </c>
      <c r="G50" s="1"/>
      <c r="H50" s="1"/>
      <c r="I50" s="4" t="e">
        <f t="array" aca="1" ref="I50" ca="1">XLOOKUP(A50,#REF!,#REF!)</f>
        <v>#NAME?</v>
      </c>
      <c r="J50" s="1"/>
      <c r="K50" s="1"/>
      <c r="L50" s="1"/>
      <c r="M50" s="1"/>
      <c r="N50" s="1"/>
      <c r="O50" s="1"/>
      <c r="P50" s="1"/>
      <c r="Q50" s="1"/>
      <c r="R50" s="1"/>
      <c r="S50" s="1"/>
      <c r="T50" s="1"/>
      <c r="U50" s="1"/>
      <c r="V50" s="1"/>
      <c r="W50" s="1"/>
      <c r="X50" s="1"/>
      <c r="Y50" s="1"/>
      <c r="Z50" s="1"/>
      <c r="AA50" s="1"/>
      <c r="AB50" s="1"/>
      <c r="AC50" s="1"/>
      <c r="AD50" s="1"/>
      <c r="AE50" s="1"/>
      <c r="AF50" s="1"/>
      <c r="AG50" s="1"/>
      <c r="AH50" s="1"/>
      <c r="AI50" s="1"/>
    </row>
    <row r="51" spans="1:35" ht="22.5" customHeight="1" x14ac:dyDescent="0.15">
      <c r="A51" s="1"/>
      <c r="B51" s="1"/>
      <c r="C51" s="1"/>
      <c r="D51" s="1"/>
      <c r="E51" s="1"/>
      <c r="F51" s="3" t="e">
        <f t="array" aca="1" ref="F51" ca="1">XLOOKUP(A51,'彼此影業 劇本盲測對象調查 - 盲測初選名單 (已自動連結)'!B:B,'彼此影業 劇本盲測對象調查 - 盲測初選名單 (已自動連結)'!H:J)</f>
        <v>#NAME?</v>
      </c>
      <c r="G51" s="1"/>
      <c r="H51" s="1"/>
      <c r="I51" s="4" t="e">
        <f t="array" aca="1" ref="I51" ca="1">XLOOKUP(A51,#REF!,#REF!)</f>
        <v>#NAME?</v>
      </c>
      <c r="J51" s="1"/>
      <c r="K51" s="1"/>
      <c r="L51" s="1"/>
      <c r="M51" s="1"/>
      <c r="N51" s="1"/>
      <c r="O51" s="1"/>
      <c r="P51" s="1"/>
      <c r="Q51" s="1"/>
      <c r="R51" s="1"/>
      <c r="S51" s="1"/>
      <c r="T51" s="1"/>
      <c r="U51" s="1"/>
      <c r="V51" s="1"/>
      <c r="W51" s="1"/>
      <c r="X51" s="1"/>
      <c r="Y51" s="1"/>
      <c r="Z51" s="1"/>
      <c r="AA51" s="1"/>
      <c r="AB51" s="1"/>
      <c r="AC51" s="1"/>
      <c r="AD51" s="1"/>
      <c r="AE51" s="1"/>
      <c r="AF51" s="1"/>
      <c r="AG51" s="1"/>
      <c r="AH51" s="1"/>
      <c r="AI51" s="1"/>
    </row>
    <row r="52" spans="1:35" ht="22.5" customHeight="1" x14ac:dyDescent="0.15">
      <c r="A52" s="1"/>
      <c r="B52" s="1"/>
      <c r="C52" s="1"/>
      <c r="D52" s="1"/>
      <c r="E52" s="1"/>
      <c r="F52" s="3" t="e">
        <f t="array" aca="1" ref="F52" ca="1">XLOOKUP(A52,'彼此影業 劇本盲測對象調查 - 盲測初選名單 (已自動連結)'!B:B,'彼此影業 劇本盲測對象調查 - 盲測初選名單 (已自動連結)'!H:J)</f>
        <v>#NAME?</v>
      </c>
      <c r="G52" s="1"/>
      <c r="H52" s="1"/>
      <c r="I52" s="4" t="e">
        <f t="array" aca="1" ref="I52" ca="1">XLOOKUP(A52,#REF!,#REF!)</f>
        <v>#NAME?</v>
      </c>
      <c r="J52" s="1"/>
      <c r="K52" s="1"/>
      <c r="L52" s="1"/>
      <c r="M52" s="1"/>
      <c r="N52" s="1"/>
      <c r="O52" s="1"/>
      <c r="P52" s="1"/>
      <c r="Q52" s="1"/>
      <c r="R52" s="1"/>
      <c r="S52" s="1"/>
      <c r="T52" s="1"/>
      <c r="U52" s="1"/>
      <c r="V52" s="1"/>
      <c r="W52" s="1"/>
      <c r="X52" s="1"/>
      <c r="Y52" s="1"/>
      <c r="Z52" s="1"/>
      <c r="AA52" s="1"/>
      <c r="AB52" s="1"/>
      <c r="AC52" s="1"/>
      <c r="AD52" s="1"/>
      <c r="AE52" s="1"/>
      <c r="AF52" s="1"/>
      <c r="AG52" s="1"/>
      <c r="AH52" s="1"/>
      <c r="AI52" s="1"/>
    </row>
    <row r="53" spans="1:35" ht="22.5" customHeight="1" x14ac:dyDescent="0.15">
      <c r="A53" s="1"/>
      <c r="B53" s="1"/>
      <c r="C53" s="1"/>
      <c r="D53" s="1"/>
      <c r="E53" s="1"/>
      <c r="F53" s="3" t="e">
        <f t="array" aca="1" ref="F53" ca="1">XLOOKUP(A53,'彼此影業 劇本盲測對象調查 - 盲測初選名單 (已自動連結)'!B:B,'彼此影業 劇本盲測對象調查 - 盲測初選名單 (已自動連結)'!H:J)</f>
        <v>#NAME?</v>
      </c>
      <c r="G53" s="1"/>
      <c r="H53" s="1"/>
      <c r="I53" s="4" t="e">
        <f t="array" aca="1" ref="I53" ca="1">XLOOKUP(A53,#REF!,#REF!)</f>
        <v>#NAME?</v>
      </c>
      <c r="J53" s="1"/>
      <c r="K53" s="1"/>
      <c r="L53" s="1"/>
      <c r="M53" s="1"/>
      <c r="N53" s="1"/>
      <c r="O53" s="1"/>
      <c r="P53" s="1"/>
      <c r="Q53" s="1"/>
      <c r="R53" s="1"/>
      <c r="S53" s="1"/>
      <c r="T53" s="1"/>
      <c r="U53" s="1"/>
      <c r="V53" s="1"/>
      <c r="W53" s="1"/>
      <c r="X53" s="1"/>
      <c r="Y53" s="1"/>
      <c r="Z53" s="1"/>
      <c r="AA53" s="1"/>
      <c r="AB53" s="1"/>
      <c r="AC53" s="1"/>
      <c r="AD53" s="1"/>
      <c r="AE53" s="1"/>
      <c r="AF53" s="1"/>
      <c r="AG53" s="1"/>
      <c r="AH53" s="1"/>
      <c r="AI53" s="1"/>
    </row>
    <row r="54" spans="1:35" ht="22.5" customHeight="1" x14ac:dyDescent="0.15">
      <c r="A54" s="1"/>
      <c r="B54" s="1"/>
      <c r="C54" s="1"/>
      <c r="D54" s="1"/>
      <c r="E54" s="1"/>
      <c r="F54" s="3" t="e">
        <f t="array" aca="1" ref="F54" ca="1">XLOOKUP(A54,'彼此影業 劇本盲測對象調查 - 盲測初選名單 (已自動連結)'!B:B,'彼此影業 劇本盲測對象調查 - 盲測初選名單 (已自動連結)'!H:J)</f>
        <v>#NAME?</v>
      </c>
      <c r="G54" s="1"/>
      <c r="H54" s="1"/>
      <c r="I54" s="4" t="e">
        <f t="array" aca="1" ref="I54" ca="1">XLOOKUP(A54,#REF!,#REF!)</f>
        <v>#NAME?</v>
      </c>
      <c r="J54" s="1"/>
      <c r="K54" s="1"/>
      <c r="L54" s="1"/>
      <c r="M54" s="1"/>
      <c r="N54" s="1"/>
      <c r="O54" s="1"/>
      <c r="P54" s="1"/>
      <c r="Q54" s="1"/>
      <c r="R54" s="1"/>
      <c r="S54" s="1"/>
      <c r="T54" s="1"/>
      <c r="U54" s="1"/>
      <c r="V54" s="1"/>
      <c r="W54" s="1"/>
      <c r="X54" s="1"/>
      <c r="Y54" s="1"/>
      <c r="Z54" s="1"/>
      <c r="AA54" s="1"/>
      <c r="AB54" s="1"/>
      <c r="AC54" s="1"/>
      <c r="AD54" s="1"/>
      <c r="AE54" s="1"/>
      <c r="AF54" s="1"/>
      <c r="AG54" s="1"/>
      <c r="AH54" s="1"/>
      <c r="AI54" s="1"/>
    </row>
    <row r="55" spans="1:35" ht="22.5" customHeight="1" x14ac:dyDescent="0.15">
      <c r="A55" s="1"/>
      <c r="B55" s="1"/>
      <c r="C55" s="1"/>
      <c r="D55" s="1"/>
      <c r="E55" s="1"/>
      <c r="F55" s="3" t="e">
        <f t="array" aca="1" ref="F55" ca="1">XLOOKUP(A55,'彼此影業 劇本盲測對象調查 - 盲測初選名單 (已自動連結)'!B:B,'彼此影業 劇本盲測對象調查 - 盲測初選名單 (已自動連結)'!H:J)</f>
        <v>#NAME?</v>
      </c>
      <c r="G55" s="1"/>
      <c r="H55" s="1"/>
      <c r="I55" s="4" t="e">
        <f t="array" aca="1" ref="I55" ca="1">XLOOKUP(A55,#REF!,#REF!)</f>
        <v>#NAME?</v>
      </c>
      <c r="J55" s="1"/>
      <c r="K55" s="1"/>
      <c r="L55" s="1"/>
      <c r="M55" s="1"/>
      <c r="N55" s="1"/>
      <c r="O55" s="1"/>
      <c r="P55" s="1"/>
      <c r="Q55" s="1"/>
      <c r="R55" s="1"/>
      <c r="S55" s="1"/>
      <c r="T55" s="1"/>
      <c r="U55" s="1"/>
      <c r="V55" s="1"/>
      <c r="W55" s="1"/>
      <c r="X55" s="1"/>
      <c r="Y55" s="1"/>
      <c r="Z55" s="1"/>
      <c r="AA55" s="1"/>
      <c r="AB55" s="1"/>
      <c r="AC55" s="1"/>
      <c r="AD55" s="1"/>
      <c r="AE55" s="1"/>
      <c r="AF55" s="1"/>
      <c r="AG55" s="1"/>
      <c r="AH55" s="1"/>
      <c r="AI55" s="1"/>
    </row>
    <row r="56" spans="1:35" ht="22.5" customHeight="1" x14ac:dyDescent="0.15">
      <c r="A56" s="1"/>
      <c r="B56" s="1"/>
      <c r="C56" s="1"/>
      <c r="D56" s="1"/>
      <c r="E56" s="1"/>
      <c r="F56" s="3" t="e">
        <f t="array" aca="1" ref="F56" ca="1">XLOOKUP(A56,'彼此影業 劇本盲測對象調查 - 盲測初選名單 (已自動連結)'!B:B,'彼此影業 劇本盲測對象調查 - 盲測初選名單 (已自動連結)'!H:J)</f>
        <v>#NAME?</v>
      </c>
      <c r="G56" s="1"/>
      <c r="H56" s="1"/>
      <c r="I56" s="4" t="e">
        <f t="array" aca="1" ref="I56" ca="1">XLOOKUP(A56,#REF!,#REF!)</f>
        <v>#NAME?</v>
      </c>
      <c r="J56" s="1"/>
      <c r="K56" s="1"/>
      <c r="L56" s="1"/>
      <c r="M56" s="1"/>
      <c r="N56" s="1"/>
      <c r="O56" s="1"/>
      <c r="P56" s="1"/>
      <c r="Q56" s="1"/>
      <c r="R56" s="1"/>
      <c r="S56" s="1"/>
      <c r="T56" s="1"/>
      <c r="U56" s="1"/>
      <c r="V56" s="1"/>
      <c r="W56" s="1"/>
      <c r="X56" s="1"/>
      <c r="Y56" s="1"/>
      <c r="Z56" s="1"/>
      <c r="AA56" s="1"/>
      <c r="AB56" s="1"/>
      <c r="AC56" s="1"/>
      <c r="AD56" s="1"/>
      <c r="AE56" s="1"/>
      <c r="AF56" s="1"/>
      <c r="AG56" s="1"/>
      <c r="AH56" s="1"/>
      <c r="AI56" s="1"/>
    </row>
    <row r="57" spans="1:35" ht="22.5" customHeight="1" x14ac:dyDescent="0.15">
      <c r="A57" s="1"/>
      <c r="B57" s="1"/>
      <c r="C57" s="1"/>
      <c r="D57" s="1"/>
      <c r="E57" s="1"/>
      <c r="F57" s="3" t="e">
        <f t="array" aca="1" ref="F57" ca="1">XLOOKUP(A57,'彼此影業 劇本盲測對象調查 - 盲測初選名單 (已自動連結)'!B:B,'彼此影業 劇本盲測對象調查 - 盲測初選名單 (已自動連結)'!H:J)</f>
        <v>#NAME?</v>
      </c>
      <c r="G57" s="1"/>
      <c r="H57" s="1"/>
      <c r="I57" s="4" t="e">
        <f t="array" aca="1" ref="I57" ca="1">XLOOKUP(A57,#REF!,#REF!)</f>
        <v>#NAME?</v>
      </c>
      <c r="J57" s="1"/>
      <c r="K57" s="1"/>
      <c r="L57" s="1"/>
      <c r="M57" s="1"/>
      <c r="N57" s="1"/>
      <c r="O57" s="1"/>
      <c r="P57" s="1"/>
      <c r="Q57" s="1"/>
      <c r="R57" s="1"/>
      <c r="S57" s="1"/>
      <c r="T57" s="1"/>
      <c r="U57" s="1"/>
      <c r="V57" s="1"/>
      <c r="W57" s="1"/>
      <c r="X57" s="1"/>
      <c r="Y57" s="1"/>
      <c r="Z57" s="1"/>
      <c r="AA57" s="1"/>
      <c r="AB57" s="1"/>
      <c r="AC57" s="1"/>
      <c r="AD57" s="1"/>
      <c r="AE57" s="1"/>
      <c r="AF57" s="1"/>
      <c r="AG57" s="1"/>
      <c r="AH57" s="1"/>
      <c r="AI57" s="1"/>
    </row>
    <row r="58" spans="1:35" ht="22.5" customHeight="1" x14ac:dyDescent="0.15">
      <c r="A58" s="1"/>
      <c r="B58" s="1"/>
      <c r="C58" s="1"/>
      <c r="D58" s="1"/>
      <c r="E58" s="1"/>
      <c r="F58" s="3" t="e">
        <f t="array" aca="1" ref="F58" ca="1">XLOOKUP(A58,'彼此影業 劇本盲測對象調查 - 盲測初選名單 (已自動連結)'!B:B,'彼此影業 劇本盲測對象調查 - 盲測初選名單 (已自動連結)'!H:J)</f>
        <v>#NAME?</v>
      </c>
      <c r="G58" s="1"/>
      <c r="H58" s="1"/>
      <c r="I58" s="4" t="e">
        <f t="array" aca="1" ref="I58" ca="1">XLOOKUP(A58,#REF!,#REF!)</f>
        <v>#NAME?</v>
      </c>
      <c r="J58" s="1"/>
      <c r="K58" s="1"/>
      <c r="L58" s="1"/>
      <c r="M58" s="1"/>
      <c r="N58" s="1"/>
      <c r="O58" s="1"/>
      <c r="P58" s="1"/>
      <c r="Q58" s="1"/>
      <c r="R58" s="1"/>
      <c r="S58" s="1"/>
      <c r="T58" s="1"/>
      <c r="U58" s="1"/>
      <c r="V58" s="1"/>
      <c r="W58" s="1"/>
      <c r="X58" s="1"/>
      <c r="Y58" s="1"/>
      <c r="Z58" s="1"/>
      <c r="AA58" s="1"/>
      <c r="AB58" s="1"/>
      <c r="AC58" s="1"/>
      <c r="AD58" s="1"/>
      <c r="AE58" s="1"/>
      <c r="AF58" s="1"/>
      <c r="AG58" s="1"/>
      <c r="AH58" s="1"/>
      <c r="AI58" s="1"/>
    </row>
    <row r="59" spans="1:35" ht="22.5" customHeight="1" x14ac:dyDescent="0.15">
      <c r="A59" s="1"/>
      <c r="B59" s="1"/>
      <c r="C59" s="1"/>
      <c r="D59" s="1"/>
      <c r="E59" s="1"/>
      <c r="F59" s="3" t="e">
        <f t="array" aca="1" ref="F59" ca="1">XLOOKUP(A59,'彼此影業 劇本盲測對象調查 - 盲測初選名單 (已自動連結)'!B:B,'彼此影業 劇本盲測對象調查 - 盲測初選名單 (已自動連結)'!H:J)</f>
        <v>#NAME?</v>
      </c>
      <c r="G59" s="1"/>
      <c r="H59" s="1"/>
      <c r="I59" s="4" t="e">
        <f t="array" aca="1" ref="I59" ca="1">XLOOKUP(A59,#REF!,#REF!)</f>
        <v>#NAME?</v>
      </c>
      <c r="J59" s="1"/>
      <c r="K59" s="1"/>
      <c r="L59" s="1"/>
      <c r="M59" s="1"/>
      <c r="N59" s="1"/>
      <c r="O59" s="1"/>
      <c r="P59" s="1"/>
      <c r="Q59" s="1"/>
      <c r="R59" s="1"/>
      <c r="S59" s="1"/>
      <c r="T59" s="1"/>
      <c r="U59" s="1"/>
      <c r="V59" s="1"/>
      <c r="W59" s="1"/>
      <c r="X59" s="1"/>
      <c r="Y59" s="1"/>
      <c r="Z59" s="1"/>
      <c r="AA59" s="1"/>
      <c r="AB59" s="1"/>
      <c r="AC59" s="1"/>
      <c r="AD59" s="1"/>
      <c r="AE59" s="1"/>
      <c r="AF59" s="1"/>
      <c r="AG59" s="1"/>
      <c r="AH59" s="1"/>
      <c r="AI59" s="1"/>
    </row>
    <row r="60" spans="1:35" ht="22.5" customHeight="1" x14ac:dyDescent="0.15">
      <c r="A60" s="1"/>
      <c r="B60" s="1"/>
      <c r="C60" s="1"/>
      <c r="D60" s="1"/>
      <c r="E60" s="1"/>
      <c r="F60" s="3" t="e">
        <f t="array" aca="1" ref="F60" ca="1">XLOOKUP(A60,'彼此影業 劇本盲測對象調查 - 盲測初選名單 (已自動連結)'!B:B,'彼此影業 劇本盲測對象調查 - 盲測初選名單 (已自動連結)'!H:J)</f>
        <v>#NAME?</v>
      </c>
      <c r="G60" s="1"/>
      <c r="H60" s="1"/>
      <c r="I60" s="4" t="e">
        <f t="array" aca="1" ref="I60" ca="1">XLOOKUP(A60,#REF!,#REF!)</f>
        <v>#NAME?</v>
      </c>
      <c r="J60" s="1"/>
      <c r="K60" s="1"/>
      <c r="L60" s="1"/>
      <c r="M60" s="1"/>
      <c r="N60" s="1"/>
      <c r="O60" s="1"/>
      <c r="P60" s="1"/>
      <c r="Q60" s="1"/>
      <c r="R60" s="1"/>
      <c r="S60" s="1"/>
      <c r="T60" s="1"/>
      <c r="U60" s="1"/>
      <c r="V60" s="1"/>
      <c r="W60" s="1"/>
      <c r="X60" s="1"/>
      <c r="Y60" s="1"/>
      <c r="Z60" s="1"/>
      <c r="AA60" s="1"/>
      <c r="AB60" s="1"/>
      <c r="AC60" s="1"/>
      <c r="AD60" s="1"/>
      <c r="AE60" s="1"/>
      <c r="AF60" s="1"/>
      <c r="AG60" s="1"/>
      <c r="AH60" s="1"/>
      <c r="AI60" s="1"/>
    </row>
    <row r="61" spans="1:35" ht="22.5" customHeight="1" x14ac:dyDescent="0.15">
      <c r="A61" s="1"/>
      <c r="B61" s="1"/>
      <c r="C61" s="1"/>
      <c r="D61" s="1"/>
      <c r="E61" s="1"/>
      <c r="F61" s="3" t="e">
        <f t="array" aca="1" ref="F61" ca="1">XLOOKUP(A61,'彼此影業 劇本盲測對象調查 - 盲測初選名單 (已自動連結)'!B:B,'彼此影業 劇本盲測對象調查 - 盲測初選名單 (已自動連結)'!H:J)</f>
        <v>#NAME?</v>
      </c>
      <c r="G61" s="1"/>
      <c r="H61" s="1"/>
      <c r="I61" s="4" t="e">
        <f t="array" aca="1" ref="I61" ca="1">XLOOKUP(A61,#REF!,#REF!)</f>
        <v>#NAME?</v>
      </c>
      <c r="J61" s="1"/>
      <c r="K61" s="1"/>
      <c r="L61" s="1"/>
      <c r="M61" s="1"/>
      <c r="N61" s="1"/>
      <c r="O61" s="1"/>
      <c r="P61" s="1"/>
      <c r="Q61" s="1"/>
      <c r="R61" s="1"/>
      <c r="S61" s="1"/>
      <c r="T61" s="1"/>
      <c r="U61" s="1"/>
      <c r="V61" s="1"/>
      <c r="W61" s="1"/>
      <c r="X61" s="1"/>
      <c r="Y61" s="1"/>
      <c r="Z61" s="1"/>
      <c r="AA61" s="1"/>
      <c r="AB61" s="1"/>
      <c r="AC61" s="1"/>
      <c r="AD61" s="1"/>
      <c r="AE61" s="1"/>
      <c r="AF61" s="1"/>
      <c r="AG61" s="1"/>
      <c r="AH61" s="1"/>
      <c r="AI61" s="1"/>
    </row>
    <row r="62" spans="1:35" ht="22.5" customHeight="1" x14ac:dyDescent="0.15">
      <c r="A62" s="1"/>
      <c r="B62" s="1"/>
      <c r="C62" s="1"/>
      <c r="D62" s="1"/>
      <c r="E62" s="1"/>
      <c r="F62" s="3" t="e">
        <f t="array" aca="1" ref="F62" ca="1">XLOOKUP(A62,'彼此影業 劇本盲測對象調查 - 盲測初選名單 (已自動連結)'!B:B,'彼此影業 劇本盲測對象調查 - 盲測初選名單 (已自動連結)'!H:J)</f>
        <v>#NAME?</v>
      </c>
      <c r="G62" s="1"/>
      <c r="H62" s="1"/>
      <c r="I62" s="4" t="e">
        <f t="array" aca="1" ref="I62" ca="1">XLOOKUP(A62,#REF!,#REF!)</f>
        <v>#NAME?</v>
      </c>
      <c r="J62" s="1"/>
      <c r="K62" s="1"/>
      <c r="L62" s="1"/>
      <c r="M62" s="1"/>
      <c r="N62" s="1"/>
      <c r="O62" s="1"/>
      <c r="P62" s="1"/>
      <c r="Q62" s="1"/>
      <c r="R62" s="1"/>
      <c r="S62" s="1"/>
      <c r="T62" s="1"/>
      <c r="U62" s="1"/>
      <c r="V62" s="1"/>
      <c r="W62" s="1"/>
      <c r="X62" s="1"/>
      <c r="Y62" s="1"/>
      <c r="Z62" s="1"/>
      <c r="AA62" s="1"/>
      <c r="AB62" s="1"/>
      <c r="AC62" s="1"/>
      <c r="AD62" s="1"/>
      <c r="AE62" s="1"/>
      <c r="AF62" s="1"/>
      <c r="AG62" s="1"/>
      <c r="AH62" s="1"/>
      <c r="AI62" s="1"/>
    </row>
    <row r="63" spans="1:35" ht="22.5" customHeight="1" x14ac:dyDescent="0.15">
      <c r="A63" s="1"/>
      <c r="B63" s="1"/>
      <c r="C63" s="1"/>
      <c r="D63" s="1"/>
      <c r="E63" s="1"/>
      <c r="F63" s="3" t="e">
        <f t="array" aca="1" ref="F63" ca="1">XLOOKUP(A63,'彼此影業 劇本盲測對象調查 - 盲測初選名單 (已自動連結)'!B:B,'彼此影業 劇本盲測對象調查 - 盲測初選名單 (已自動連結)'!H:J)</f>
        <v>#NAME?</v>
      </c>
      <c r="G63" s="1"/>
      <c r="H63" s="1"/>
      <c r="I63" s="4" t="e">
        <f t="array" aca="1" ref="I63" ca="1">XLOOKUP(A63,#REF!,#REF!)</f>
        <v>#NAME?</v>
      </c>
      <c r="J63" s="1"/>
      <c r="K63" s="1"/>
      <c r="L63" s="1"/>
      <c r="M63" s="1"/>
      <c r="N63" s="1"/>
      <c r="O63" s="1"/>
      <c r="P63" s="1"/>
      <c r="Q63" s="1"/>
      <c r="R63" s="1"/>
      <c r="S63" s="1"/>
      <c r="T63" s="1"/>
      <c r="U63" s="1"/>
      <c r="V63" s="1"/>
      <c r="W63" s="1"/>
      <c r="X63" s="1"/>
      <c r="Y63" s="1"/>
      <c r="Z63" s="1"/>
      <c r="AA63" s="1"/>
      <c r="AB63" s="1"/>
      <c r="AC63" s="1"/>
      <c r="AD63" s="1"/>
      <c r="AE63" s="1"/>
      <c r="AF63" s="1"/>
      <c r="AG63" s="1"/>
      <c r="AH63" s="1"/>
      <c r="AI63" s="1"/>
    </row>
    <row r="64" spans="1:35" ht="22.5" customHeight="1" x14ac:dyDescent="0.15">
      <c r="A64" s="1"/>
      <c r="B64" s="1"/>
      <c r="C64" s="1"/>
      <c r="D64" s="1"/>
      <c r="E64" s="1"/>
      <c r="F64" s="3" t="e">
        <f t="array" aca="1" ref="F64" ca="1">XLOOKUP(A64,'彼此影業 劇本盲測對象調查 - 盲測初選名單 (已自動連結)'!B:B,'彼此影業 劇本盲測對象調查 - 盲測初選名單 (已自動連結)'!H:J)</f>
        <v>#NAME?</v>
      </c>
      <c r="G64" s="1"/>
      <c r="H64" s="1"/>
      <c r="I64" s="4" t="e">
        <f t="array" aca="1" ref="I64" ca="1">XLOOKUP(A64,#REF!,#REF!)</f>
        <v>#NAME?</v>
      </c>
      <c r="J64" s="1"/>
      <c r="K64" s="1"/>
      <c r="L64" s="1"/>
      <c r="M64" s="1"/>
      <c r="N64" s="1"/>
      <c r="O64" s="1"/>
      <c r="P64" s="1"/>
      <c r="Q64" s="1"/>
      <c r="R64" s="1"/>
      <c r="S64" s="1"/>
      <c r="T64" s="1"/>
      <c r="U64" s="1"/>
      <c r="V64" s="1"/>
      <c r="W64" s="1"/>
      <c r="X64" s="1"/>
      <c r="Y64" s="1"/>
      <c r="Z64" s="1"/>
      <c r="AA64" s="1"/>
      <c r="AB64" s="1"/>
      <c r="AC64" s="1"/>
      <c r="AD64" s="1"/>
      <c r="AE64" s="1"/>
      <c r="AF64" s="1"/>
      <c r="AG64" s="1"/>
      <c r="AH64" s="1"/>
      <c r="AI64" s="1"/>
    </row>
    <row r="65" spans="1:35" ht="22.5" customHeight="1" x14ac:dyDescent="0.15">
      <c r="A65" s="1"/>
      <c r="B65" s="1"/>
      <c r="C65" s="1"/>
      <c r="D65" s="1"/>
      <c r="E65" s="1"/>
      <c r="F65" s="3" t="e">
        <f t="array" aca="1" ref="F65" ca="1">XLOOKUP(A65,'彼此影業 劇本盲測對象調查 - 盲測初選名單 (已自動連結)'!B:B,'彼此影業 劇本盲測對象調查 - 盲測初選名單 (已自動連結)'!H:J)</f>
        <v>#NAME?</v>
      </c>
      <c r="G65" s="1"/>
      <c r="H65" s="1"/>
      <c r="I65" s="4" t="e">
        <f t="array" aca="1" ref="I65" ca="1">XLOOKUP(A65,#REF!,#REF!)</f>
        <v>#NAME?</v>
      </c>
      <c r="J65" s="1"/>
      <c r="K65" s="1"/>
      <c r="L65" s="1"/>
      <c r="M65" s="1"/>
      <c r="N65" s="1"/>
      <c r="O65" s="1"/>
      <c r="P65" s="1"/>
      <c r="Q65" s="1"/>
      <c r="R65" s="1"/>
      <c r="S65" s="1"/>
      <c r="T65" s="1"/>
      <c r="U65" s="1"/>
      <c r="V65" s="1"/>
      <c r="W65" s="1"/>
      <c r="X65" s="1"/>
      <c r="Y65" s="1"/>
      <c r="Z65" s="1"/>
      <c r="AA65" s="1"/>
      <c r="AB65" s="1"/>
      <c r="AC65" s="1"/>
      <c r="AD65" s="1"/>
      <c r="AE65" s="1"/>
      <c r="AF65" s="1"/>
      <c r="AG65" s="1"/>
      <c r="AH65" s="1"/>
      <c r="AI65" s="1"/>
    </row>
    <row r="66" spans="1:35" ht="22.5" customHeight="1" x14ac:dyDescent="0.15">
      <c r="A66" s="1"/>
      <c r="B66" s="1"/>
      <c r="C66" s="1"/>
      <c r="D66" s="1"/>
      <c r="E66" s="1"/>
      <c r="F66" s="3" t="e">
        <f t="array" aca="1" ref="F66" ca="1">XLOOKUP(A66,'彼此影業 劇本盲測對象調查 - 盲測初選名單 (已自動連結)'!B:B,'彼此影業 劇本盲測對象調查 - 盲測初選名單 (已自動連結)'!H:J)</f>
        <v>#NAME?</v>
      </c>
      <c r="G66" s="1"/>
      <c r="H66" s="1"/>
      <c r="I66" s="4" t="e">
        <f t="array" aca="1" ref="I66" ca="1">XLOOKUP(A66,#REF!,#REF!)</f>
        <v>#NAME?</v>
      </c>
      <c r="J66" s="1"/>
      <c r="K66" s="1"/>
      <c r="L66" s="1"/>
      <c r="M66" s="1"/>
      <c r="N66" s="1"/>
      <c r="O66" s="1"/>
      <c r="P66" s="1"/>
      <c r="Q66" s="1"/>
      <c r="R66" s="1"/>
      <c r="S66" s="1"/>
      <c r="T66" s="1"/>
      <c r="U66" s="1"/>
      <c r="V66" s="1"/>
      <c r="W66" s="1"/>
      <c r="X66" s="1"/>
      <c r="Y66" s="1"/>
      <c r="Z66" s="1"/>
      <c r="AA66" s="1"/>
      <c r="AB66" s="1"/>
      <c r="AC66" s="1"/>
      <c r="AD66" s="1"/>
      <c r="AE66" s="1"/>
      <c r="AF66" s="1"/>
      <c r="AG66" s="1"/>
      <c r="AH66" s="1"/>
      <c r="AI66" s="1"/>
    </row>
    <row r="67" spans="1:35" ht="22.5" customHeight="1" x14ac:dyDescent="0.15">
      <c r="A67" s="1"/>
      <c r="B67" s="1"/>
      <c r="C67" s="1"/>
      <c r="D67" s="1"/>
      <c r="E67" s="1"/>
      <c r="F67" s="3" t="e">
        <f t="array" aca="1" ref="F67" ca="1">XLOOKUP(A67,'彼此影業 劇本盲測對象調查 - 盲測初選名單 (已自動連結)'!B:B,'彼此影業 劇本盲測對象調查 - 盲測初選名單 (已自動連結)'!H:J)</f>
        <v>#NAME?</v>
      </c>
      <c r="G67" s="1"/>
      <c r="H67" s="1"/>
      <c r="I67" s="4" t="e">
        <f t="array" aca="1" ref="I67" ca="1">XLOOKUP(A67,#REF!,#REF!)</f>
        <v>#NAME?</v>
      </c>
      <c r="J67" s="1"/>
      <c r="K67" s="1"/>
      <c r="L67" s="1"/>
      <c r="M67" s="1"/>
      <c r="N67" s="1"/>
      <c r="O67" s="1"/>
      <c r="P67" s="1"/>
      <c r="Q67" s="1"/>
      <c r="R67" s="1"/>
      <c r="S67" s="1"/>
      <c r="T67" s="1"/>
      <c r="U67" s="1"/>
      <c r="V67" s="1"/>
      <c r="W67" s="1"/>
      <c r="X67" s="1"/>
      <c r="Y67" s="1"/>
      <c r="Z67" s="1"/>
      <c r="AA67" s="1"/>
      <c r="AB67" s="1"/>
      <c r="AC67" s="1"/>
      <c r="AD67" s="1"/>
      <c r="AE67" s="1"/>
      <c r="AF67" s="1"/>
      <c r="AG67" s="1"/>
      <c r="AH67" s="1"/>
      <c r="AI67" s="1"/>
    </row>
    <row r="68" spans="1:35" ht="22.5" customHeight="1" x14ac:dyDescent="0.15">
      <c r="A68" s="1"/>
      <c r="B68" s="1"/>
      <c r="C68" s="1"/>
      <c r="D68" s="1"/>
      <c r="E68" s="1"/>
      <c r="F68" s="3" t="e">
        <f t="array" aca="1" ref="F68" ca="1">XLOOKUP(A68,'彼此影業 劇本盲測對象調查 - 盲測初選名單 (已自動連結)'!B:B,'彼此影業 劇本盲測對象調查 - 盲測初選名單 (已自動連結)'!H:J)</f>
        <v>#NAME?</v>
      </c>
      <c r="G68" s="1"/>
      <c r="H68" s="1"/>
      <c r="I68" s="4" t="e">
        <f t="array" aca="1" ref="I68" ca="1">XLOOKUP(A68,#REF!,#REF!)</f>
        <v>#NAME?</v>
      </c>
      <c r="J68" s="1"/>
      <c r="K68" s="1"/>
      <c r="L68" s="1"/>
      <c r="M68" s="1"/>
      <c r="N68" s="1"/>
      <c r="O68" s="1"/>
      <c r="P68" s="1"/>
      <c r="Q68" s="1"/>
      <c r="R68" s="1"/>
      <c r="S68" s="1"/>
      <c r="T68" s="1"/>
      <c r="U68" s="1"/>
      <c r="V68" s="1"/>
      <c r="W68" s="1"/>
      <c r="X68" s="1"/>
      <c r="Y68" s="1"/>
      <c r="Z68" s="1"/>
      <c r="AA68" s="1"/>
      <c r="AB68" s="1"/>
      <c r="AC68" s="1"/>
      <c r="AD68" s="1"/>
      <c r="AE68" s="1"/>
      <c r="AF68" s="1"/>
      <c r="AG68" s="1"/>
      <c r="AH68" s="1"/>
      <c r="AI68" s="1"/>
    </row>
    <row r="69" spans="1:35" ht="22.5" customHeight="1" x14ac:dyDescent="0.15">
      <c r="A69" s="1"/>
      <c r="B69" s="1"/>
      <c r="C69" s="1"/>
      <c r="D69" s="1"/>
      <c r="E69" s="1"/>
      <c r="F69" s="3" t="e">
        <f t="array" aca="1" ref="F69" ca="1">XLOOKUP(A69,'彼此影業 劇本盲測對象調查 - 盲測初選名單 (已自動連結)'!B:B,'彼此影業 劇本盲測對象調查 - 盲測初選名單 (已自動連結)'!H:J)</f>
        <v>#NAME?</v>
      </c>
      <c r="G69" s="1"/>
      <c r="H69" s="1"/>
      <c r="I69" s="4" t="e">
        <f t="array" aca="1" ref="I69" ca="1">XLOOKUP(A69,#REF!,#REF!)</f>
        <v>#NAME?</v>
      </c>
      <c r="J69" s="1"/>
      <c r="K69" s="1"/>
      <c r="L69" s="1"/>
      <c r="M69" s="1"/>
      <c r="N69" s="1"/>
      <c r="O69" s="1"/>
      <c r="P69" s="1"/>
      <c r="Q69" s="1"/>
      <c r="R69" s="1"/>
      <c r="S69" s="1"/>
      <c r="T69" s="1"/>
      <c r="U69" s="1"/>
      <c r="V69" s="1"/>
      <c r="W69" s="1"/>
      <c r="X69" s="1"/>
      <c r="Y69" s="1"/>
      <c r="Z69" s="1"/>
      <c r="AA69" s="1"/>
      <c r="AB69" s="1"/>
      <c r="AC69" s="1"/>
      <c r="AD69" s="1"/>
      <c r="AE69" s="1"/>
      <c r="AF69" s="1"/>
      <c r="AG69" s="1"/>
      <c r="AH69" s="1"/>
      <c r="AI69" s="1"/>
    </row>
    <row r="70" spans="1:35" ht="22.5" customHeight="1" x14ac:dyDescent="0.15">
      <c r="A70" s="1"/>
      <c r="B70" s="1"/>
      <c r="C70" s="1"/>
      <c r="D70" s="1"/>
      <c r="E70" s="1"/>
      <c r="F70" s="3" t="e">
        <f t="array" aca="1" ref="F70" ca="1">XLOOKUP(A70,'彼此影業 劇本盲測對象調查 - 盲測初選名單 (已自動連結)'!B:B,'彼此影業 劇本盲測對象調查 - 盲測初選名單 (已自動連結)'!H:J)</f>
        <v>#NAME?</v>
      </c>
      <c r="G70" s="1"/>
      <c r="H70" s="1"/>
      <c r="I70" s="4" t="e">
        <f t="array" aca="1" ref="I70" ca="1">XLOOKUP(A70,#REF!,#REF!)</f>
        <v>#NAME?</v>
      </c>
      <c r="J70" s="1"/>
      <c r="K70" s="1"/>
      <c r="L70" s="1"/>
      <c r="M70" s="1"/>
      <c r="N70" s="1"/>
      <c r="O70" s="1"/>
      <c r="P70" s="1"/>
      <c r="Q70" s="1"/>
      <c r="R70" s="1"/>
      <c r="S70" s="1"/>
      <c r="T70" s="1"/>
      <c r="U70" s="1"/>
      <c r="V70" s="1"/>
      <c r="W70" s="1"/>
      <c r="X70" s="1"/>
      <c r="Y70" s="1"/>
      <c r="Z70" s="1"/>
      <c r="AA70" s="1"/>
      <c r="AB70" s="1"/>
      <c r="AC70" s="1"/>
      <c r="AD70" s="1"/>
      <c r="AE70" s="1"/>
      <c r="AF70" s="1"/>
      <c r="AG70" s="1"/>
      <c r="AH70" s="1"/>
      <c r="AI70" s="1"/>
    </row>
    <row r="71" spans="1:35" ht="22.5" customHeight="1" x14ac:dyDescent="0.15">
      <c r="A71" s="1"/>
      <c r="B71" s="1"/>
      <c r="C71" s="1"/>
      <c r="D71" s="1"/>
      <c r="E71" s="1"/>
      <c r="F71" s="3" t="e">
        <f t="array" aca="1" ref="F71" ca="1">XLOOKUP(A71,'彼此影業 劇本盲測對象調查 - 盲測初選名單 (已自動連結)'!B:B,'彼此影業 劇本盲測對象調查 - 盲測初選名單 (已自動連結)'!H:J)</f>
        <v>#NAME?</v>
      </c>
      <c r="G71" s="1"/>
      <c r="H71" s="1"/>
      <c r="I71" s="4" t="e">
        <f t="array" aca="1" ref="I71" ca="1">XLOOKUP(A71,#REF!,#REF!)</f>
        <v>#NAME?</v>
      </c>
      <c r="J71" s="1"/>
      <c r="K71" s="1"/>
      <c r="L71" s="1"/>
      <c r="M71" s="1"/>
      <c r="N71" s="1"/>
      <c r="O71" s="1"/>
      <c r="P71" s="1"/>
      <c r="Q71" s="1"/>
      <c r="R71" s="1"/>
      <c r="S71" s="1"/>
      <c r="T71" s="1"/>
      <c r="U71" s="1"/>
      <c r="V71" s="1"/>
      <c r="W71" s="1"/>
      <c r="X71" s="1"/>
      <c r="Y71" s="1"/>
      <c r="Z71" s="1"/>
      <c r="AA71" s="1"/>
      <c r="AB71" s="1"/>
      <c r="AC71" s="1"/>
      <c r="AD71" s="1"/>
      <c r="AE71" s="1"/>
      <c r="AF71" s="1"/>
      <c r="AG71" s="1"/>
      <c r="AH71" s="1"/>
      <c r="AI71" s="1"/>
    </row>
    <row r="72" spans="1:35" ht="22.5" customHeight="1" x14ac:dyDescent="0.15">
      <c r="A72" s="1"/>
      <c r="B72" s="1"/>
      <c r="C72" s="1"/>
      <c r="D72" s="1"/>
      <c r="E72" s="1"/>
      <c r="F72" s="3" t="e">
        <f t="array" aca="1" ref="F72" ca="1">XLOOKUP(A72,'彼此影業 劇本盲測對象調查 - 盲測初選名單 (已自動連結)'!B:B,'彼此影業 劇本盲測對象調查 - 盲測初選名單 (已自動連結)'!H:J)</f>
        <v>#NAME?</v>
      </c>
      <c r="G72" s="1"/>
      <c r="H72" s="1"/>
      <c r="I72" s="4" t="e">
        <f t="array" aca="1" ref="I72" ca="1">XLOOKUP(A72,#REF!,#REF!)</f>
        <v>#NAME?</v>
      </c>
      <c r="J72" s="1"/>
      <c r="K72" s="1"/>
      <c r="L72" s="1"/>
      <c r="M72" s="1"/>
      <c r="N72" s="1"/>
      <c r="O72" s="1"/>
      <c r="P72" s="1"/>
      <c r="Q72" s="1"/>
      <c r="R72" s="1"/>
      <c r="S72" s="1"/>
      <c r="T72" s="1"/>
      <c r="U72" s="1"/>
      <c r="V72" s="1"/>
      <c r="W72" s="1"/>
      <c r="X72" s="1"/>
      <c r="Y72" s="1"/>
      <c r="Z72" s="1"/>
      <c r="AA72" s="1"/>
      <c r="AB72" s="1"/>
      <c r="AC72" s="1"/>
      <c r="AD72" s="1"/>
      <c r="AE72" s="1"/>
      <c r="AF72" s="1"/>
      <c r="AG72" s="1"/>
      <c r="AH72" s="1"/>
      <c r="AI72" s="1"/>
    </row>
    <row r="73" spans="1:35" ht="22.5" customHeight="1" x14ac:dyDescent="0.15">
      <c r="A73" s="1"/>
      <c r="B73" s="1"/>
      <c r="C73" s="1"/>
      <c r="D73" s="1"/>
      <c r="E73" s="1"/>
      <c r="F73" s="3" t="e">
        <f t="array" aca="1" ref="F73" ca="1">XLOOKUP(A73,'彼此影業 劇本盲測對象調查 - 盲測初選名單 (已自動連結)'!B:B,'彼此影業 劇本盲測對象調查 - 盲測初選名單 (已自動連結)'!H:J)</f>
        <v>#NAME?</v>
      </c>
      <c r="G73" s="1"/>
      <c r="H73" s="1"/>
      <c r="I73" s="4" t="e">
        <f t="array" aca="1" ref="I73" ca="1">XLOOKUP(A73,#REF!,#REF!)</f>
        <v>#NAME?</v>
      </c>
      <c r="J73" s="1"/>
      <c r="K73" s="1"/>
      <c r="L73" s="1"/>
      <c r="M73" s="1"/>
      <c r="N73" s="1"/>
      <c r="O73" s="1"/>
      <c r="P73" s="1"/>
      <c r="Q73" s="1"/>
      <c r="R73" s="1"/>
      <c r="S73" s="1"/>
      <c r="T73" s="1"/>
      <c r="U73" s="1"/>
      <c r="V73" s="1"/>
      <c r="W73" s="1"/>
      <c r="X73" s="1"/>
      <c r="Y73" s="1"/>
      <c r="Z73" s="1"/>
      <c r="AA73" s="1"/>
      <c r="AB73" s="1"/>
      <c r="AC73" s="1"/>
      <c r="AD73" s="1"/>
      <c r="AE73" s="1"/>
      <c r="AF73" s="1"/>
      <c r="AG73" s="1"/>
      <c r="AH73" s="1"/>
      <c r="AI73" s="1"/>
    </row>
    <row r="74" spans="1:35" ht="22.5" customHeight="1" x14ac:dyDescent="0.15">
      <c r="A74" s="1"/>
      <c r="B74" s="1"/>
      <c r="C74" s="1"/>
      <c r="D74" s="1"/>
      <c r="E74" s="1"/>
      <c r="F74" s="3" t="e">
        <f t="array" aca="1" ref="F74" ca="1">XLOOKUP(A74,'彼此影業 劇本盲測對象調查 - 盲測初選名單 (已自動連結)'!B:B,'彼此影業 劇本盲測對象調查 - 盲測初選名單 (已自動連結)'!H:J)</f>
        <v>#NAME?</v>
      </c>
      <c r="G74" s="1"/>
      <c r="H74" s="1"/>
      <c r="I74" s="4" t="e">
        <f t="array" aca="1" ref="I74" ca="1">XLOOKUP(A74,#REF!,#REF!)</f>
        <v>#NAME?</v>
      </c>
      <c r="J74" s="1"/>
      <c r="K74" s="1"/>
      <c r="L74" s="1"/>
      <c r="M74" s="1"/>
      <c r="N74" s="1"/>
      <c r="O74" s="1"/>
      <c r="P74" s="1"/>
      <c r="Q74" s="1"/>
      <c r="R74" s="1"/>
      <c r="S74" s="1"/>
      <c r="T74" s="1"/>
      <c r="U74" s="1"/>
      <c r="V74" s="1"/>
      <c r="W74" s="1"/>
      <c r="X74" s="1"/>
      <c r="Y74" s="1"/>
      <c r="Z74" s="1"/>
      <c r="AA74" s="1"/>
      <c r="AB74" s="1"/>
      <c r="AC74" s="1"/>
      <c r="AD74" s="1"/>
      <c r="AE74" s="1"/>
      <c r="AF74" s="1"/>
      <c r="AG74" s="1"/>
      <c r="AH74" s="1"/>
      <c r="AI74" s="1"/>
    </row>
    <row r="75" spans="1:35" ht="22.5" customHeight="1" x14ac:dyDescent="0.15">
      <c r="A75" s="1"/>
      <c r="B75" s="1"/>
      <c r="C75" s="1"/>
      <c r="D75" s="1"/>
      <c r="E75" s="1"/>
      <c r="F75" s="3" t="e">
        <f t="array" aca="1" ref="F75" ca="1">XLOOKUP(A75,'彼此影業 劇本盲測對象調查 - 盲測初選名單 (已自動連結)'!B:B,'彼此影業 劇本盲測對象調查 - 盲測初選名單 (已自動連結)'!H:J)</f>
        <v>#NAME?</v>
      </c>
      <c r="G75" s="1"/>
      <c r="H75" s="1"/>
      <c r="I75" s="4" t="e">
        <f t="array" aca="1" ref="I75" ca="1">XLOOKUP(A75,#REF!,#REF!)</f>
        <v>#NAME?</v>
      </c>
      <c r="J75" s="1"/>
      <c r="K75" s="1"/>
      <c r="L75" s="1"/>
      <c r="M75" s="1"/>
      <c r="N75" s="1"/>
      <c r="O75" s="1"/>
      <c r="P75" s="1"/>
      <c r="Q75" s="1"/>
      <c r="R75" s="1"/>
      <c r="S75" s="1"/>
      <c r="T75" s="1"/>
      <c r="U75" s="1"/>
      <c r="V75" s="1"/>
      <c r="W75" s="1"/>
      <c r="X75" s="1"/>
      <c r="Y75" s="1"/>
      <c r="Z75" s="1"/>
      <c r="AA75" s="1"/>
      <c r="AB75" s="1"/>
      <c r="AC75" s="1"/>
      <c r="AD75" s="1"/>
      <c r="AE75" s="1"/>
      <c r="AF75" s="1"/>
      <c r="AG75" s="1"/>
      <c r="AH75" s="1"/>
      <c r="AI75" s="1"/>
    </row>
    <row r="76" spans="1:35" ht="22.5" customHeight="1" x14ac:dyDescent="0.15">
      <c r="A76" s="1"/>
      <c r="B76" s="1"/>
      <c r="C76" s="1"/>
      <c r="D76" s="1"/>
      <c r="E76" s="1"/>
      <c r="F76" s="3" t="e">
        <f t="array" aca="1" ref="F76" ca="1">XLOOKUP(A76,'彼此影業 劇本盲測對象調查 - 盲測初選名單 (已自動連結)'!B:B,'彼此影業 劇本盲測對象調查 - 盲測初選名單 (已自動連結)'!H:J)</f>
        <v>#NAME?</v>
      </c>
      <c r="G76" s="1"/>
      <c r="H76" s="1"/>
      <c r="I76" s="4" t="e">
        <f t="array" aca="1" ref="I76" ca="1">XLOOKUP(A76,#REF!,#REF!)</f>
        <v>#NAME?</v>
      </c>
      <c r="J76" s="1"/>
      <c r="K76" s="1"/>
      <c r="L76" s="1"/>
      <c r="M76" s="1"/>
      <c r="N76" s="1"/>
      <c r="O76" s="1"/>
      <c r="P76" s="1"/>
      <c r="Q76" s="1"/>
      <c r="R76" s="1"/>
      <c r="S76" s="1"/>
      <c r="T76" s="1"/>
      <c r="U76" s="1"/>
      <c r="V76" s="1"/>
      <c r="W76" s="1"/>
      <c r="X76" s="1"/>
      <c r="Y76" s="1"/>
      <c r="Z76" s="1"/>
      <c r="AA76" s="1"/>
      <c r="AB76" s="1"/>
      <c r="AC76" s="1"/>
      <c r="AD76" s="1"/>
      <c r="AE76" s="1"/>
      <c r="AF76" s="1"/>
      <c r="AG76" s="1"/>
      <c r="AH76" s="1"/>
      <c r="AI76" s="1"/>
    </row>
    <row r="77" spans="1:35" ht="22.5" customHeight="1" x14ac:dyDescent="0.15">
      <c r="A77" s="1"/>
      <c r="B77" s="1"/>
      <c r="C77" s="1"/>
      <c r="D77" s="1"/>
      <c r="E77" s="1"/>
      <c r="F77" s="3" t="e">
        <f t="array" aca="1" ref="F77" ca="1">XLOOKUP(A77,'彼此影業 劇本盲測對象調查 - 盲測初選名單 (已自動連結)'!B:B,'彼此影業 劇本盲測對象調查 - 盲測初選名單 (已自動連結)'!H:J)</f>
        <v>#NAME?</v>
      </c>
      <c r="G77" s="1"/>
      <c r="H77" s="1"/>
      <c r="I77" s="4" t="e">
        <f t="array" aca="1" ref="I77" ca="1">XLOOKUP(A77,#REF!,#REF!)</f>
        <v>#NAME?</v>
      </c>
      <c r="J77" s="1"/>
      <c r="K77" s="1"/>
      <c r="L77" s="1"/>
      <c r="M77" s="1"/>
      <c r="N77" s="1"/>
      <c r="O77" s="1"/>
      <c r="P77" s="1"/>
      <c r="Q77" s="1"/>
      <c r="R77" s="1"/>
      <c r="S77" s="1"/>
      <c r="T77" s="1"/>
      <c r="U77" s="1"/>
      <c r="V77" s="1"/>
      <c r="W77" s="1"/>
      <c r="X77" s="1"/>
      <c r="Y77" s="1"/>
      <c r="Z77" s="1"/>
      <c r="AA77" s="1"/>
      <c r="AB77" s="1"/>
      <c r="AC77" s="1"/>
      <c r="AD77" s="1"/>
      <c r="AE77" s="1"/>
      <c r="AF77" s="1"/>
      <c r="AG77" s="1"/>
      <c r="AH77" s="1"/>
      <c r="AI77" s="1"/>
    </row>
    <row r="78" spans="1:35" ht="22.5" customHeight="1" x14ac:dyDescent="0.15">
      <c r="A78" s="1"/>
      <c r="B78" s="1"/>
      <c r="C78" s="1"/>
      <c r="D78" s="1"/>
      <c r="E78" s="1"/>
      <c r="F78" s="3" t="e">
        <f t="array" aca="1" ref="F78" ca="1">XLOOKUP(A78,'彼此影業 劇本盲測對象調查 - 盲測初選名單 (已自動連結)'!B:B,'彼此影業 劇本盲測對象調查 - 盲測初選名單 (已自動連結)'!H:J)</f>
        <v>#NAME?</v>
      </c>
      <c r="G78" s="1"/>
      <c r="H78" s="1"/>
      <c r="I78" s="4" t="e">
        <f t="array" aca="1" ref="I78" ca="1">XLOOKUP(A78,#REF!,#REF!)</f>
        <v>#NAME?</v>
      </c>
      <c r="J78" s="1"/>
      <c r="K78" s="1"/>
      <c r="L78" s="1"/>
      <c r="M78" s="1"/>
      <c r="N78" s="1"/>
      <c r="O78" s="1"/>
      <c r="P78" s="1"/>
      <c r="Q78" s="1"/>
      <c r="R78" s="1"/>
      <c r="S78" s="1"/>
      <c r="T78" s="1"/>
      <c r="U78" s="1"/>
      <c r="V78" s="1"/>
      <c r="W78" s="1"/>
      <c r="X78" s="1"/>
      <c r="Y78" s="1"/>
      <c r="Z78" s="1"/>
      <c r="AA78" s="1"/>
      <c r="AB78" s="1"/>
      <c r="AC78" s="1"/>
      <c r="AD78" s="1"/>
      <c r="AE78" s="1"/>
      <c r="AF78" s="1"/>
      <c r="AG78" s="1"/>
      <c r="AH78" s="1"/>
      <c r="AI78" s="1"/>
    </row>
    <row r="79" spans="1:35" ht="22.5" customHeight="1" x14ac:dyDescent="0.15">
      <c r="A79" s="1"/>
      <c r="B79" s="1"/>
      <c r="C79" s="1"/>
      <c r="D79" s="1"/>
      <c r="E79" s="1"/>
      <c r="F79" s="3" t="e">
        <f t="array" aca="1" ref="F79" ca="1">XLOOKUP(A79,'彼此影業 劇本盲測對象調查 - 盲測初選名單 (已自動連結)'!B:B,'彼此影業 劇本盲測對象調查 - 盲測初選名單 (已自動連結)'!H:J)</f>
        <v>#NAME?</v>
      </c>
      <c r="G79" s="1"/>
      <c r="H79" s="1"/>
      <c r="I79" s="4" t="e">
        <f t="array" aca="1" ref="I79" ca="1">XLOOKUP(A79,#REF!,#REF!)</f>
        <v>#NAME?</v>
      </c>
      <c r="J79" s="1"/>
      <c r="K79" s="1"/>
      <c r="L79" s="1"/>
      <c r="M79" s="1"/>
      <c r="N79" s="1"/>
      <c r="O79" s="1"/>
      <c r="P79" s="1"/>
      <c r="Q79" s="1"/>
      <c r="R79" s="1"/>
      <c r="S79" s="1"/>
      <c r="T79" s="1"/>
      <c r="U79" s="1"/>
      <c r="V79" s="1"/>
      <c r="W79" s="1"/>
      <c r="X79" s="1"/>
      <c r="Y79" s="1"/>
      <c r="Z79" s="1"/>
      <c r="AA79" s="1"/>
      <c r="AB79" s="1"/>
      <c r="AC79" s="1"/>
      <c r="AD79" s="1"/>
      <c r="AE79" s="1"/>
      <c r="AF79" s="1"/>
      <c r="AG79" s="1"/>
      <c r="AH79" s="1"/>
      <c r="AI79" s="1"/>
    </row>
    <row r="80" spans="1:35" ht="22.5" customHeight="1" x14ac:dyDescent="0.15">
      <c r="A80" s="1"/>
      <c r="B80" s="1"/>
      <c r="C80" s="1"/>
      <c r="D80" s="1"/>
      <c r="E80" s="1"/>
      <c r="F80" s="3" t="e">
        <f t="array" aca="1" ref="F80" ca="1">XLOOKUP(A80,'彼此影業 劇本盲測對象調查 - 盲測初選名單 (已自動連結)'!B:B,'彼此影業 劇本盲測對象調查 - 盲測初選名單 (已自動連結)'!H:J)</f>
        <v>#NAME?</v>
      </c>
      <c r="G80" s="1"/>
      <c r="H80" s="1"/>
      <c r="I80" s="4" t="e">
        <f t="array" aca="1" ref="I80" ca="1">XLOOKUP(A80,#REF!,#REF!)</f>
        <v>#NAME?</v>
      </c>
      <c r="J80" s="1"/>
      <c r="K80" s="1"/>
      <c r="L80" s="1"/>
      <c r="M80" s="1"/>
      <c r="N80" s="1"/>
      <c r="O80" s="1"/>
      <c r="P80" s="1"/>
      <c r="Q80" s="1"/>
      <c r="R80" s="1"/>
      <c r="S80" s="1"/>
      <c r="T80" s="1"/>
      <c r="U80" s="1"/>
      <c r="V80" s="1"/>
      <c r="W80" s="1"/>
      <c r="X80" s="1"/>
      <c r="Y80" s="1"/>
      <c r="Z80" s="1"/>
      <c r="AA80" s="1"/>
      <c r="AB80" s="1"/>
      <c r="AC80" s="1"/>
      <c r="AD80" s="1"/>
      <c r="AE80" s="1"/>
      <c r="AF80" s="1"/>
      <c r="AG80" s="1"/>
      <c r="AH80" s="1"/>
      <c r="AI80" s="1"/>
    </row>
    <row r="81" spans="1:35" ht="22.5" customHeight="1" x14ac:dyDescent="0.15">
      <c r="A81" s="1"/>
      <c r="B81" s="1"/>
      <c r="C81" s="1"/>
      <c r="D81" s="1"/>
      <c r="E81" s="1"/>
      <c r="F81" s="3" t="e">
        <f t="array" aca="1" ref="F81" ca="1">XLOOKUP(A81,'彼此影業 劇本盲測對象調查 - 盲測初選名單 (已自動連結)'!B:B,'彼此影業 劇本盲測對象調查 - 盲測初選名單 (已自動連結)'!H:J)</f>
        <v>#NAME?</v>
      </c>
      <c r="G81" s="1"/>
      <c r="H81" s="1"/>
      <c r="I81" s="4" t="e">
        <f t="array" aca="1" ref="I81" ca="1">XLOOKUP(A81,#REF!,#REF!)</f>
        <v>#NAME?</v>
      </c>
      <c r="J81" s="1"/>
      <c r="K81" s="1"/>
      <c r="L81" s="1"/>
      <c r="M81" s="1"/>
      <c r="N81" s="1"/>
      <c r="O81" s="1"/>
      <c r="P81" s="1"/>
      <c r="Q81" s="1"/>
      <c r="R81" s="1"/>
      <c r="S81" s="1"/>
      <c r="T81" s="1"/>
      <c r="U81" s="1"/>
      <c r="V81" s="1"/>
      <c r="W81" s="1"/>
      <c r="X81" s="1"/>
      <c r="Y81" s="1"/>
      <c r="Z81" s="1"/>
      <c r="AA81" s="1"/>
      <c r="AB81" s="1"/>
      <c r="AC81" s="1"/>
      <c r="AD81" s="1"/>
      <c r="AE81" s="1"/>
      <c r="AF81" s="1"/>
      <c r="AG81" s="1"/>
      <c r="AH81" s="1"/>
      <c r="AI81" s="1"/>
    </row>
    <row r="82" spans="1:35" ht="22.5" customHeight="1" x14ac:dyDescent="0.15">
      <c r="A82" s="1"/>
      <c r="B82" s="1"/>
      <c r="C82" s="1"/>
      <c r="D82" s="1"/>
      <c r="E82" s="1"/>
      <c r="F82" s="3" t="e">
        <f t="array" aca="1" ref="F82" ca="1">XLOOKUP(A82,'彼此影業 劇本盲測對象調查 - 盲測初選名單 (已自動連結)'!B:B,'彼此影業 劇本盲測對象調查 - 盲測初選名單 (已自動連結)'!H:J)</f>
        <v>#NAME?</v>
      </c>
      <c r="G82" s="1"/>
      <c r="H82" s="1"/>
      <c r="I82" s="4" t="e">
        <f t="array" aca="1" ref="I82" ca="1">XLOOKUP(A82,#REF!,#REF!)</f>
        <v>#NAME?</v>
      </c>
      <c r="J82" s="1"/>
      <c r="K82" s="1"/>
      <c r="L82" s="1"/>
      <c r="M82" s="1"/>
      <c r="N82" s="1"/>
      <c r="O82" s="1"/>
      <c r="P82" s="1"/>
      <c r="Q82" s="1"/>
      <c r="R82" s="1"/>
      <c r="S82" s="1"/>
      <c r="T82" s="1"/>
      <c r="U82" s="1"/>
      <c r="V82" s="1"/>
      <c r="W82" s="1"/>
      <c r="X82" s="1"/>
      <c r="Y82" s="1"/>
      <c r="Z82" s="1"/>
      <c r="AA82" s="1"/>
      <c r="AB82" s="1"/>
      <c r="AC82" s="1"/>
      <c r="AD82" s="1"/>
      <c r="AE82" s="1"/>
      <c r="AF82" s="1"/>
      <c r="AG82" s="1"/>
      <c r="AH82" s="1"/>
      <c r="AI82" s="1"/>
    </row>
    <row r="83" spans="1:35" ht="22.5" customHeight="1" x14ac:dyDescent="0.15">
      <c r="A83" s="1"/>
      <c r="B83" s="1"/>
      <c r="C83" s="1"/>
      <c r="D83" s="1"/>
      <c r="E83" s="1"/>
      <c r="F83" s="3" t="e">
        <f t="array" aca="1" ref="F83" ca="1">XLOOKUP(A83,'彼此影業 劇本盲測對象調查 - 盲測初選名單 (已自動連結)'!B:B,'彼此影業 劇本盲測對象調查 - 盲測初選名單 (已自動連結)'!H:J)</f>
        <v>#NAME?</v>
      </c>
      <c r="G83" s="1"/>
      <c r="H83" s="1"/>
      <c r="I83" s="4" t="e">
        <f t="array" aca="1" ref="I83" ca="1">XLOOKUP(A83,#REF!,#REF!)</f>
        <v>#NAME?</v>
      </c>
      <c r="J83" s="1"/>
      <c r="K83" s="1"/>
      <c r="L83" s="1"/>
      <c r="M83" s="1"/>
      <c r="N83" s="1"/>
      <c r="O83" s="1"/>
      <c r="P83" s="1"/>
      <c r="Q83" s="1"/>
      <c r="R83" s="1"/>
      <c r="S83" s="1"/>
      <c r="T83" s="1"/>
      <c r="U83" s="1"/>
      <c r="V83" s="1"/>
      <c r="W83" s="1"/>
      <c r="X83" s="1"/>
      <c r="Y83" s="1"/>
      <c r="Z83" s="1"/>
      <c r="AA83" s="1"/>
      <c r="AB83" s="1"/>
      <c r="AC83" s="1"/>
      <c r="AD83" s="1"/>
      <c r="AE83" s="1"/>
      <c r="AF83" s="1"/>
      <c r="AG83" s="1"/>
      <c r="AH83" s="1"/>
      <c r="AI83" s="1"/>
    </row>
    <row r="84" spans="1:35" ht="22.5" customHeight="1" x14ac:dyDescent="0.15">
      <c r="A84" s="1"/>
      <c r="B84" s="1"/>
      <c r="C84" s="1"/>
      <c r="D84" s="1"/>
      <c r="E84" s="1"/>
      <c r="F84" s="3" t="e">
        <f t="array" aca="1" ref="F84" ca="1">XLOOKUP(A84,'彼此影業 劇本盲測對象調查 - 盲測初選名單 (已自動連結)'!B:B,'彼此影業 劇本盲測對象調查 - 盲測初選名單 (已自動連結)'!H:J)</f>
        <v>#NAME?</v>
      </c>
      <c r="G84" s="1"/>
      <c r="H84" s="1"/>
      <c r="I84" s="4" t="e">
        <f t="array" aca="1" ref="I84" ca="1">XLOOKUP(A84,#REF!,#REF!)</f>
        <v>#NAME?</v>
      </c>
      <c r="J84" s="1"/>
      <c r="K84" s="1"/>
      <c r="L84" s="1"/>
      <c r="M84" s="1"/>
      <c r="N84" s="1"/>
      <c r="O84" s="1"/>
      <c r="P84" s="1"/>
      <c r="Q84" s="1"/>
      <c r="R84" s="1"/>
      <c r="S84" s="1"/>
      <c r="T84" s="1"/>
      <c r="U84" s="1"/>
      <c r="V84" s="1"/>
      <c r="W84" s="1"/>
      <c r="X84" s="1"/>
      <c r="Y84" s="1"/>
      <c r="Z84" s="1"/>
      <c r="AA84" s="1"/>
      <c r="AB84" s="1"/>
      <c r="AC84" s="1"/>
      <c r="AD84" s="1"/>
      <c r="AE84" s="1"/>
      <c r="AF84" s="1"/>
      <c r="AG84" s="1"/>
      <c r="AH84" s="1"/>
      <c r="AI84" s="1"/>
    </row>
    <row r="85" spans="1:35" ht="22.5" customHeight="1" x14ac:dyDescent="0.15">
      <c r="A85" s="1"/>
      <c r="B85" s="1"/>
      <c r="C85" s="1"/>
      <c r="D85" s="1"/>
      <c r="E85" s="1"/>
      <c r="F85" s="3" t="e">
        <f t="array" aca="1" ref="F85" ca="1">XLOOKUP(A85,'彼此影業 劇本盲測對象調查 - 盲測初選名單 (已自動連結)'!B:B,'彼此影業 劇本盲測對象調查 - 盲測初選名單 (已自動連結)'!H:J)</f>
        <v>#NAME?</v>
      </c>
      <c r="G85" s="1"/>
      <c r="H85" s="1"/>
      <c r="I85" s="4" t="e">
        <f t="array" aca="1" ref="I85" ca="1">XLOOKUP(A85,#REF!,#REF!)</f>
        <v>#NAME?</v>
      </c>
      <c r="J85" s="1"/>
      <c r="K85" s="1"/>
      <c r="L85" s="1"/>
      <c r="M85" s="1"/>
      <c r="N85" s="1"/>
      <c r="O85" s="1"/>
      <c r="P85" s="1"/>
      <c r="Q85" s="1"/>
      <c r="R85" s="1"/>
      <c r="S85" s="1"/>
      <c r="T85" s="1"/>
      <c r="U85" s="1"/>
      <c r="V85" s="1"/>
      <c r="W85" s="1"/>
      <c r="X85" s="1"/>
      <c r="Y85" s="1"/>
      <c r="Z85" s="1"/>
      <c r="AA85" s="1"/>
      <c r="AB85" s="1"/>
      <c r="AC85" s="1"/>
      <c r="AD85" s="1"/>
      <c r="AE85" s="1"/>
      <c r="AF85" s="1"/>
      <c r="AG85" s="1"/>
      <c r="AH85" s="1"/>
      <c r="AI85" s="1"/>
    </row>
    <row r="86" spans="1:35" ht="22.5" customHeight="1" x14ac:dyDescent="0.15">
      <c r="A86" s="1"/>
      <c r="B86" s="1"/>
      <c r="C86" s="1"/>
      <c r="D86" s="1"/>
      <c r="E86" s="1"/>
      <c r="F86" s="3" t="e">
        <f t="array" aca="1" ref="F86" ca="1">XLOOKUP(A86,'彼此影業 劇本盲測對象調查 - 盲測初選名單 (已自動連結)'!B:B,'彼此影業 劇本盲測對象調查 - 盲測初選名單 (已自動連結)'!H:J)</f>
        <v>#NAME?</v>
      </c>
      <c r="G86" s="1"/>
      <c r="H86" s="1"/>
      <c r="I86" s="4" t="e">
        <f t="array" aca="1" ref="I86" ca="1">XLOOKUP(A86,#REF!,#REF!)</f>
        <v>#NAME?</v>
      </c>
      <c r="J86" s="1"/>
      <c r="K86" s="1"/>
      <c r="L86" s="1"/>
      <c r="M86" s="1"/>
      <c r="N86" s="1"/>
      <c r="O86" s="1"/>
      <c r="P86" s="1"/>
      <c r="Q86" s="1"/>
      <c r="R86" s="1"/>
      <c r="S86" s="1"/>
      <c r="T86" s="1"/>
      <c r="U86" s="1"/>
      <c r="V86" s="1"/>
      <c r="W86" s="1"/>
      <c r="X86" s="1"/>
      <c r="Y86" s="1"/>
      <c r="Z86" s="1"/>
      <c r="AA86" s="1"/>
      <c r="AB86" s="1"/>
      <c r="AC86" s="1"/>
      <c r="AD86" s="1"/>
      <c r="AE86" s="1"/>
      <c r="AF86" s="1"/>
      <c r="AG86" s="1"/>
      <c r="AH86" s="1"/>
      <c r="AI86" s="1"/>
    </row>
    <row r="87" spans="1:35" ht="22.5" customHeight="1" x14ac:dyDescent="0.15">
      <c r="A87" s="1"/>
      <c r="B87" s="1"/>
      <c r="C87" s="1"/>
      <c r="D87" s="1"/>
      <c r="E87" s="1"/>
      <c r="F87" s="3" t="e">
        <f t="array" aca="1" ref="F87" ca="1">XLOOKUP(A87,'彼此影業 劇本盲測對象調查 - 盲測初選名單 (已自動連結)'!B:B,'彼此影業 劇本盲測對象調查 - 盲測初選名單 (已自動連結)'!H:J)</f>
        <v>#NAME?</v>
      </c>
      <c r="G87" s="1"/>
      <c r="H87" s="1"/>
      <c r="I87" s="4" t="e">
        <f t="array" aca="1" ref="I87" ca="1">XLOOKUP(A87,#REF!,#REF!)</f>
        <v>#NAME?</v>
      </c>
      <c r="J87" s="1"/>
      <c r="K87" s="1"/>
      <c r="L87" s="1"/>
      <c r="M87" s="1"/>
      <c r="N87" s="1"/>
      <c r="O87" s="1"/>
      <c r="P87" s="1"/>
      <c r="Q87" s="1"/>
      <c r="R87" s="1"/>
      <c r="S87" s="1"/>
      <c r="T87" s="1"/>
      <c r="U87" s="1"/>
      <c r="V87" s="1"/>
      <c r="W87" s="1"/>
      <c r="X87" s="1"/>
      <c r="Y87" s="1"/>
      <c r="Z87" s="1"/>
      <c r="AA87" s="1"/>
      <c r="AB87" s="1"/>
      <c r="AC87" s="1"/>
      <c r="AD87" s="1"/>
      <c r="AE87" s="1"/>
      <c r="AF87" s="1"/>
      <c r="AG87" s="1"/>
      <c r="AH87" s="1"/>
      <c r="AI87" s="1"/>
    </row>
    <row r="88" spans="1:35" ht="22.5" customHeight="1" x14ac:dyDescent="0.15">
      <c r="A88" s="1"/>
      <c r="B88" s="1"/>
      <c r="C88" s="1"/>
      <c r="D88" s="1"/>
      <c r="E88" s="1"/>
      <c r="F88" s="3" t="e">
        <f t="array" aca="1" ref="F88" ca="1">XLOOKUP(A88,'彼此影業 劇本盲測對象調查 - 盲測初選名單 (已自動連結)'!B:B,'彼此影業 劇本盲測對象調查 - 盲測初選名單 (已自動連結)'!H:J)</f>
        <v>#NAME?</v>
      </c>
      <c r="G88" s="1"/>
      <c r="H88" s="1"/>
      <c r="I88" s="4" t="e">
        <f t="array" aca="1" ref="I88" ca="1">XLOOKUP(A88,#REF!,#REF!)</f>
        <v>#NAME?</v>
      </c>
      <c r="J88" s="1"/>
      <c r="K88" s="1"/>
      <c r="L88" s="1"/>
      <c r="M88" s="1"/>
      <c r="N88" s="1"/>
      <c r="O88" s="1"/>
      <c r="P88" s="1"/>
      <c r="Q88" s="1"/>
      <c r="R88" s="1"/>
      <c r="S88" s="1"/>
      <c r="T88" s="1"/>
      <c r="U88" s="1"/>
      <c r="V88" s="1"/>
      <c r="W88" s="1"/>
      <c r="X88" s="1"/>
      <c r="Y88" s="1"/>
      <c r="Z88" s="1"/>
      <c r="AA88" s="1"/>
      <c r="AB88" s="1"/>
      <c r="AC88" s="1"/>
      <c r="AD88" s="1"/>
      <c r="AE88" s="1"/>
      <c r="AF88" s="1"/>
      <c r="AG88" s="1"/>
      <c r="AH88" s="1"/>
      <c r="AI88" s="1"/>
    </row>
    <row r="89" spans="1:35" ht="22.5" customHeight="1" x14ac:dyDescent="0.15">
      <c r="A89" s="1"/>
      <c r="B89" s="1"/>
      <c r="C89" s="1"/>
      <c r="D89" s="1"/>
      <c r="E89" s="1"/>
      <c r="F89" s="3" t="e">
        <f t="array" aca="1" ref="F89" ca="1">XLOOKUP(A89,'彼此影業 劇本盲測對象調查 - 盲測初選名單 (已自動連結)'!B:B,'彼此影業 劇本盲測對象調查 - 盲測初選名單 (已自動連結)'!H:J)</f>
        <v>#NAME?</v>
      </c>
      <c r="G89" s="1"/>
      <c r="H89" s="1"/>
      <c r="I89" s="4" t="e">
        <f t="array" aca="1" ref="I89" ca="1">XLOOKUP(A89,#REF!,#REF!)</f>
        <v>#NAME?</v>
      </c>
      <c r="J89" s="1"/>
      <c r="K89" s="1"/>
      <c r="L89" s="1"/>
      <c r="M89" s="1"/>
      <c r="N89" s="1"/>
      <c r="O89" s="1"/>
      <c r="P89" s="1"/>
      <c r="Q89" s="1"/>
      <c r="R89" s="1"/>
      <c r="S89" s="1"/>
      <c r="T89" s="1"/>
      <c r="U89" s="1"/>
      <c r="V89" s="1"/>
      <c r="W89" s="1"/>
      <c r="X89" s="1"/>
      <c r="Y89" s="1"/>
      <c r="Z89" s="1"/>
      <c r="AA89" s="1"/>
      <c r="AB89" s="1"/>
      <c r="AC89" s="1"/>
      <c r="AD89" s="1"/>
      <c r="AE89" s="1"/>
      <c r="AF89" s="1"/>
      <c r="AG89" s="1"/>
      <c r="AH89" s="1"/>
      <c r="AI89" s="1"/>
    </row>
    <row r="90" spans="1:35" ht="22.5" customHeight="1" x14ac:dyDescent="0.15">
      <c r="A90" s="1"/>
      <c r="B90" s="1"/>
      <c r="C90" s="1"/>
      <c r="D90" s="1"/>
      <c r="E90" s="1"/>
      <c r="F90" s="3" t="e">
        <f t="array" aca="1" ref="F90" ca="1">XLOOKUP(A90,'彼此影業 劇本盲測對象調查 - 盲測初選名單 (已自動連結)'!B:B,'彼此影業 劇本盲測對象調查 - 盲測初選名單 (已自動連結)'!H:J)</f>
        <v>#NAME?</v>
      </c>
      <c r="G90" s="1"/>
      <c r="H90" s="1"/>
      <c r="I90" s="4" t="e">
        <f t="array" aca="1" ref="I90" ca="1">XLOOKUP(A90,#REF!,#REF!)</f>
        <v>#NAME?</v>
      </c>
      <c r="J90" s="1"/>
      <c r="K90" s="1"/>
      <c r="L90" s="1"/>
      <c r="M90" s="1"/>
      <c r="N90" s="1"/>
      <c r="O90" s="1"/>
      <c r="P90" s="1"/>
      <c r="Q90" s="1"/>
      <c r="R90" s="1"/>
      <c r="S90" s="1"/>
      <c r="T90" s="1"/>
      <c r="U90" s="1"/>
      <c r="V90" s="1"/>
      <c r="W90" s="1"/>
      <c r="X90" s="1"/>
      <c r="Y90" s="1"/>
      <c r="Z90" s="1"/>
      <c r="AA90" s="1"/>
      <c r="AB90" s="1"/>
      <c r="AC90" s="1"/>
      <c r="AD90" s="1"/>
      <c r="AE90" s="1"/>
      <c r="AF90" s="1"/>
      <c r="AG90" s="1"/>
      <c r="AH90" s="1"/>
      <c r="AI90" s="1"/>
    </row>
    <row r="91" spans="1:35" ht="22.5" customHeight="1" x14ac:dyDescent="0.15">
      <c r="A91" s="1"/>
      <c r="B91" s="1"/>
      <c r="C91" s="1"/>
      <c r="D91" s="1"/>
      <c r="E91" s="1"/>
      <c r="F91" s="3" t="e">
        <f t="array" aca="1" ref="F91" ca="1">XLOOKUP(A91,'彼此影業 劇本盲測對象調查 - 盲測初選名單 (已自動連結)'!B:B,'彼此影業 劇本盲測對象調查 - 盲測初選名單 (已自動連結)'!H:J)</f>
        <v>#NAME?</v>
      </c>
      <c r="G91" s="1"/>
      <c r="H91" s="1"/>
      <c r="I91" s="4" t="e">
        <f t="array" aca="1" ref="I91" ca="1">XLOOKUP(A91,#REF!,#REF!)</f>
        <v>#NAME?</v>
      </c>
      <c r="J91" s="1"/>
      <c r="K91" s="1"/>
      <c r="L91" s="1"/>
      <c r="M91" s="1"/>
      <c r="N91" s="1"/>
      <c r="O91" s="1"/>
      <c r="P91" s="1"/>
      <c r="Q91" s="1"/>
      <c r="R91" s="1"/>
      <c r="S91" s="1"/>
      <c r="T91" s="1"/>
      <c r="U91" s="1"/>
      <c r="V91" s="1"/>
      <c r="W91" s="1"/>
      <c r="X91" s="1"/>
      <c r="Y91" s="1"/>
      <c r="Z91" s="1"/>
      <c r="AA91" s="1"/>
      <c r="AB91" s="1"/>
      <c r="AC91" s="1"/>
      <c r="AD91" s="1"/>
      <c r="AE91" s="1"/>
      <c r="AF91" s="1"/>
      <c r="AG91" s="1"/>
      <c r="AH91" s="1"/>
      <c r="AI91" s="1"/>
    </row>
    <row r="92" spans="1:35" ht="22.5" customHeight="1" x14ac:dyDescent="0.15">
      <c r="A92" s="1"/>
      <c r="B92" s="1"/>
      <c r="C92" s="1"/>
      <c r="D92" s="1"/>
      <c r="E92" s="1"/>
      <c r="F92" s="3" t="e">
        <f t="array" aca="1" ref="F92" ca="1">XLOOKUP(A92,'彼此影業 劇本盲測對象調查 - 盲測初選名單 (已自動連結)'!B:B,'彼此影業 劇本盲測對象調查 - 盲測初選名單 (已自動連結)'!H:J)</f>
        <v>#NAME?</v>
      </c>
      <c r="G92" s="1"/>
      <c r="H92" s="1"/>
      <c r="I92" s="4" t="e">
        <f t="array" aca="1" ref="I92" ca="1">XLOOKUP(A92,#REF!,#REF!)</f>
        <v>#NAME?</v>
      </c>
      <c r="J92" s="1"/>
      <c r="K92" s="1"/>
      <c r="L92" s="1"/>
      <c r="M92" s="1"/>
      <c r="N92" s="1"/>
      <c r="O92" s="1"/>
      <c r="P92" s="1"/>
      <c r="Q92" s="1"/>
      <c r="R92" s="1"/>
      <c r="S92" s="1"/>
      <c r="T92" s="1"/>
      <c r="U92" s="1"/>
      <c r="V92" s="1"/>
      <c r="W92" s="1"/>
      <c r="X92" s="1"/>
      <c r="Y92" s="1"/>
      <c r="Z92" s="1"/>
      <c r="AA92" s="1"/>
      <c r="AB92" s="1"/>
      <c r="AC92" s="1"/>
      <c r="AD92" s="1"/>
      <c r="AE92" s="1"/>
      <c r="AF92" s="1"/>
      <c r="AG92" s="1"/>
      <c r="AH92" s="1"/>
      <c r="AI92" s="1"/>
    </row>
    <row r="93" spans="1:35" ht="22.5" customHeight="1" x14ac:dyDescent="0.15">
      <c r="A93" s="1"/>
      <c r="B93" s="1"/>
      <c r="C93" s="1"/>
      <c r="D93" s="1"/>
      <c r="E93" s="1"/>
      <c r="F93" s="3" t="e">
        <f t="array" aca="1" ref="F93" ca="1">XLOOKUP(A93,'彼此影業 劇本盲測對象調查 - 盲測初選名單 (已自動連結)'!B:B,'彼此影業 劇本盲測對象調查 - 盲測初選名單 (已自動連結)'!H:J)</f>
        <v>#NAME?</v>
      </c>
      <c r="G93" s="1"/>
      <c r="H93" s="1"/>
      <c r="I93" s="4" t="e">
        <f t="array" aca="1" ref="I93" ca="1">XLOOKUP(A93,#REF!,#REF!)</f>
        <v>#NAME?</v>
      </c>
      <c r="J93" s="1"/>
      <c r="K93" s="1"/>
      <c r="L93" s="1"/>
      <c r="M93" s="1"/>
      <c r="N93" s="1"/>
      <c r="O93" s="1"/>
      <c r="P93" s="1"/>
      <c r="Q93" s="1"/>
      <c r="R93" s="1"/>
      <c r="S93" s="1"/>
      <c r="T93" s="1"/>
      <c r="U93" s="1"/>
      <c r="V93" s="1"/>
      <c r="W93" s="1"/>
      <c r="X93" s="1"/>
      <c r="Y93" s="1"/>
      <c r="Z93" s="1"/>
      <c r="AA93" s="1"/>
      <c r="AB93" s="1"/>
      <c r="AC93" s="1"/>
      <c r="AD93" s="1"/>
      <c r="AE93" s="1"/>
      <c r="AF93" s="1"/>
      <c r="AG93" s="1"/>
      <c r="AH93" s="1"/>
      <c r="AI93" s="1"/>
    </row>
    <row r="94" spans="1:35" ht="22.5" customHeight="1" x14ac:dyDescent="0.15">
      <c r="A94" s="1"/>
      <c r="B94" s="1"/>
      <c r="C94" s="1"/>
      <c r="D94" s="1"/>
      <c r="E94" s="1"/>
      <c r="F94" s="3" t="e">
        <f t="array" aca="1" ref="F94" ca="1">XLOOKUP(A94,'彼此影業 劇本盲測對象調查 - 盲測初選名單 (已自動連結)'!B:B,'彼此影業 劇本盲測對象調查 - 盲測初選名單 (已自動連結)'!H:J)</f>
        <v>#NAME?</v>
      </c>
      <c r="G94" s="1"/>
      <c r="H94" s="1"/>
      <c r="I94" s="4" t="e">
        <f t="array" aca="1" ref="I94" ca="1">XLOOKUP(A94,#REF!,#REF!)</f>
        <v>#NAME?</v>
      </c>
      <c r="J94" s="1"/>
      <c r="K94" s="1"/>
      <c r="L94" s="1"/>
      <c r="M94" s="1"/>
      <c r="N94" s="1"/>
      <c r="O94" s="1"/>
      <c r="P94" s="1"/>
      <c r="Q94" s="1"/>
      <c r="R94" s="1"/>
      <c r="S94" s="1"/>
      <c r="T94" s="1"/>
      <c r="U94" s="1"/>
      <c r="V94" s="1"/>
      <c r="W94" s="1"/>
      <c r="X94" s="1"/>
      <c r="Y94" s="1"/>
      <c r="Z94" s="1"/>
      <c r="AA94" s="1"/>
      <c r="AB94" s="1"/>
      <c r="AC94" s="1"/>
      <c r="AD94" s="1"/>
      <c r="AE94" s="1"/>
      <c r="AF94" s="1"/>
      <c r="AG94" s="1"/>
      <c r="AH94" s="1"/>
      <c r="AI94" s="1"/>
    </row>
    <row r="95" spans="1:35" ht="22.5" customHeight="1" x14ac:dyDescent="0.15">
      <c r="A95" s="1"/>
      <c r="B95" s="1"/>
      <c r="C95" s="1"/>
      <c r="D95" s="1"/>
      <c r="E95" s="1"/>
      <c r="F95" s="3" t="e">
        <f t="array" aca="1" ref="F95" ca="1">XLOOKUP(A95,'彼此影業 劇本盲測對象調查 - 盲測初選名單 (已自動連結)'!B:B,'彼此影業 劇本盲測對象調查 - 盲測初選名單 (已自動連結)'!H:J)</f>
        <v>#NAME?</v>
      </c>
      <c r="G95" s="1"/>
      <c r="H95" s="1"/>
      <c r="I95" s="4" t="e">
        <f t="array" aca="1" ref="I95" ca="1">XLOOKUP(A95,#REF!,#REF!)</f>
        <v>#NAME?</v>
      </c>
      <c r="J95" s="1"/>
      <c r="K95" s="1"/>
      <c r="L95" s="1"/>
      <c r="M95" s="1"/>
      <c r="N95" s="1"/>
      <c r="O95" s="1"/>
      <c r="P95" s="1"/>
      <c r="Q95" s="1"/>
      <c r="R95" s="1"/>
      <c r="S95" s="1"/>
      <c r="T95" s="1"/>
      <c r="U95" s="1"/>
      <c r="V95" s="1"/>
      <c r="W95" s="1"/>
      <c r="X95" s="1"/>
      <c r="Y95" s="1"/>
      <c r="Z95" s="1"/>
      <c r="AA95" s="1"/>
      <c r="AB95" s="1"/>
      <c r="AC95" s="1"/>
      <c r="AD95" s="1"/>
      <c r="AE95" s="1"/>
      <c r="AF95" s="1"/>
      <c r="AG95" s="1"/>
      <c r="AH95" s="1"/>
      <c r="AI95" s="1"/>
    </row>
    <row r="96" spans="1:35" ht="22.5" customHeight="1" x14ac:dyDescent="0.15">
      <c r="A96" s="1"/>
      <c r="B96" s="1"/>
      <c r="C96" s="1"/>
      <c r="D96" s="1"/>
      <c r="E96" s="1"/>
      <c r="F96" s="3" t="e">
        <f t="array" aca="1" ref="F96" ca="1">XLOOKUP(A96,'彼此影業 劇本盲測對象調查 - 盲測初選名單 (已自動連結)'!B:B,'彼此影業 劇本盲測對象調查 - 盲測初選名單 (已自動連結)'!H:J)</f>
        <v>#NAME?</v>
      </c>
      <c r="G96" s="1"/>
      <c r="H96" s="1"/>
      <c r="I96" s="4" t="e">
        <f t="array" aca="1" ref="I96" ca="1">XLOOKUP(A96,#REF!,#REF!)</f>
        <v>#NAME?</v>
      </c>
      <c r="J96" s="1"/>
      <c r="K96" s="1"/>
      <c r="L96" s="1"/>
      <c r="M96" s="1"/>
      <c r="N96" s="1"/>
      <c r="O96" s="1"/>
      <c r="P96" s="1"/>
      <c r="Q96" s="1"/>
      <c r="R96" s="1"/>
      <c r="S96" s="1"/>
      <c r="T96" s="1"/>
      <c r="U96" s="1"/>
      <c r="V96" s="1"/>
      <c r="W96" s="1"/>
      <c r="X96" s="1"/>
      <c r="Y96" s="1"/>
      <c r="Z96" s="1"/>
      <c r="AA96" s="1"/>
      <c r="AB96" s="1"/>
      <c r="AC96" s="1"/>
      <c r="AD96" s="1"/>
      <c r="AE96" s="1"/>
      <c r="AF96" s="1"/>
      <c r="AG96" s="1"/>
      <c r="AH96" s="1"/>
      <c r="AI96" s="1"/>
    </row>
    <row r="97" spans="1:35" ht="22.5" customHeight="1" x14ac:dyDescent="0.15">
      <c r="A97" s="1"/>
      <c r="B97" s="1"/>
      <c r="C97" s="1"/>
      <c r="D97" s="1"/>
      <c r="E97" s="1"/>
      <c r="F97" s="3" t="e">
        <f t="array" aca="1" ref="F97" ca="1">XLOOKUP(A97,'彼此影業 劇本盲測對象調查 - 盲測初選名單 (已自動連結)'!B:B,'彼此影業 劇本盲測對象調查 - 盲測初選名單 (已自動連結)'!H:J)</f>
        <v>#NAME?</v>
      </c>
      <c r="G97" s="1"/>
      <c r="H97" s="1"/>
      <c r="I97" s="4" t="e">
        <f t="array" aca="1" ref="I97" ca="1">XLOOKUP(A97,#REF!,#REF!)</f>
        <v>#NAME?</v>
      </c>
      <c r="J97" s="1"/>
      <c r="K97" s="1"/>
      <c r="L97" s="1"/>
      <c r="M97" s="1"/>
      <c r="N97" s="1"/>
      <c r="O97" s="1"/>
      <c r="P97" s="1"/>
      <c r="Q97" s="1"/>
      <c r="R97" s="1"/>
      <c r="S97" s="1"/>
      <c r="T97" s="1"/>
      <c r="U97" s="1"/>
      <c r="V97" s="1"/>
      <c r="W97" s="1"/>
      <c r="X97" s="1"/>
      <c r="Y97" s="1"/>
      <c r="Z97" s="1"/>
      <c r="AA97" s="1"/>
      <c r="AB97" s="1"/>
      <c r="AC97" s="1"/>
      <c r="AD97" s="1"/>
      <c r="AE97" s="1"/>
      <c r="AF97" s="1"/>
      <c r="AG97" s="1"/>
      <c r="AH97" s="1"/>
      <c r="AI97" s="1"/>
    </row>
    <row r="98" spans="1:35" ht="22.5" customHeight="1" x14ac:dyDescent="0.15">
      <c r="A98" s="1"/>
      <c r="B98" s="1"/>
      <c r="C98" s="1"/>
      <c r="D98" s="1"/>
      <c r="E98" s="1"/>
      <c r="F98" s="3" t="e">
        <f t="array" aca="1" ref="F98" ca="1">XLOOKUP(A98,'彼此影業 劇本盲測對象調查 - 盲測初選名單 (已自動連結)'!B:B,'彼此影業 劇本盲測對象調查 - 盲測初選名單 (已自動連結)'!H:J)</f>
        <v>#NAME?</v>
      </c>
      <c r="G98" s="1"/>
      <c r="H98" s="1"/>
      <c r="I98" s="4" t="e">
        <f t="array" aca="1" ref="I98" ca="1">XLOOKUP(A98,#REF!,#REF!)</f>
        <v>#NAME?</v>
      </c>
      <c r="J98" s="1"/>
      <c r="K98" s="1"/>
      <c r="L98" s="1"/>
      <c r="M98" s="1"/>
      <c r="N98" s="1"/>
      <c r="O98" s="1"/>
      <c r="P98" s="1"/>
      <c r="Q98" s="1"/>
      <c r="R98" s="1"/>
      <c r="S98" s="1"/>
      <c r="T98" s="1"/>
      <c r="U98" s="1"/>
      <c r="V98" s="1"/>
      <c r="W98" s="1"/>
      <c r="X98" s="1"/>
      <c r="Y98" s="1"/>
      <c r="Z98" s="1"/>
      <c r="AA98" s="1"/>
      <c r="AB98" s="1"/>
      <c r="AC98" s="1"/>
      <c r="AD98" s="1"/>
      <c r="AE98" s="1"/>
      <c r="AF98" s="1"/>
      <c r="AG98" s="1"/>
      <c r="AH98" s="1"/>
      <c r="AI98" s="1"/>
    </row>
    <row r="99" spans="1:35" ht="22.5" customHeight="1" x14ac:dyDescent="0.15">
      <c r="A99" s="1"/>
      <c r="B99" s="1"/>
      <c r="C99" s="1"/>
      <c r="D99" s="1"/>
      <c r="E99" s="1"/>
      <c r="F99" s="3" t="e">
        <f t="array" aca="1" ref="F99" ca="1">XLOOKUP(A99,'彼此影業 劇本盲測對象調查 - 盲測初選名單 (已自動連結)'!B:B,'彼此影業 劇本盲測對象調查 - 盲測初選名單 (已自動連結)'!H:J)</f>
        <v>#NAME?</v>
      </c>
      <c r="G99" s="1"/>
      <c r="H99" s="1"/>
      <c r="I99" s="4" t="e">
        <f t="array" aca="1" ref="I99" ca="1">XLOOKUP(A99,#REF!,#REF!)</f>
        <v>#NAME?</v>
      </c>
      <c r="J99" s="1"/>
      <c r="K99" s="1"/>
      <c r="L99" s="1"/>
      <c r="M99" s="1"/>
      <c r="N99" s="1"/>
      <c r="O99" s="1"/>
      <c r="P99" s="1"/>
      <c r="Q99" s="1"/>
      <c r="R99" s="1"/>
      <c r="S99" s="1"/>
      <c r="T99" s="1"/>
      <c r="U99" s="1"/>
      <c r="V99" s="1"/>
      <c r="W99" s="1"/>
      <c r="X99" s="1"/>
      <c r="Y99" s="1"/>
      <c r="Z99" s="1"/>
      <c r="AA99" s="1"/>
      <c r="AB99" s="1"/>
      <c r="AC99" s="1"/>
      <c r="AD99" s="1"/>
      <c r="AE99" s="1"/>
      <c r="AF99" s="1"/>
      <c r="AG99" s="1"/>
      <c r="AH99" s="1"/>
      <c r="AI99" s="1"/>
    </row>
    <row r="100" spans="1:35" ht="22.5" customHeight="1" x14ac:dyDescent="0.15">
      <c r="A100" s="1"/>
      <c r="B100" s="1"/>
      <c r="C100" s="1"/>
      <c r="D100" s="1"/>
      <c r="E100" s="1"/>
      <c r="F100" s="3" t="e">
        <f t="array" aca="1" ref="F100" ca="1">XLOOKUP(A100,'彼此影業 劇本盲測對象調查 - 盲測初選名單 (已自動連結)'!B:B,'彼此影業 劇本盲測對象調查 - 盲測初選名單 (已自動連結)'!H:J)</f>
        <v>#NAME?</v>
      </c>
      <c r="G100" s="1"/>
      <c r="H100" s="1"/>
      <c r="I100" s="4" t="e">
        <f t="array" aca="1" ref="I100" ca="1">XLOOKUP(A100,#REF!,#REF!)</f>
        <v>#NAME?</v>
      </c>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row>
    <row r="101" spans="1:35" ht="22.5" customHeight="1" x14ac:dyDescent="0.15">
      <c r="A101" s="1"/>
      <c r="B101" s="1"/>
      <c r="C101" s="1"/>
      <c r="D101" s="1"/>
      <c r="E101" s="1"/>
      <c r="F101" s="3" t="e">
        <f t="array" aca="1" ref="F101" ca="1">XLOOKUP(A101,'彼此影業 劇本盲測對象調查 - 盲測初選名單 (已自動連結)'!B:B,'彼此影業 劇本盲測對象調查 - 盲測初選名單 (已自動連結)'!H:J)</f>
        <v>#NAME?</v>
      </c>
      <c r="G101" s="1"/>
      <c r="H101" s="1"/>
      <c r="I101" s="4" t="e">
        <f t="array" aca="1" ref="I101" ca="1">XLOOKUP(A101,#REF!,#REF!)</f>
        <v>#NAME?</v>
      </c>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row>
    <row r="102" spans="1:35" ht="22.5" customHeight="1" x14ac:dyDescent="0.15">
      <c r="A102" s="1"/>
      <c r="B102" s="1"/>
      <c r="C102" s="1"/>
      <c r="D102" s="1"/>
      <c r="E102" s="1"/>
      <c r="F102" s="3" t="e">
        <f t="array" aca="1" ref="F102" ca="1">XLOOKUP(A102,'彼此影業 劇本盲測對象調查 - 盲測初選名單 (已自動連結)'!B:B,'彼此影業 劇本盲測對象調查 - 盲測初選名單 (已自動連結)'!H:J)</f>
        <v>#NAME?</v>
      </c>
      <c r="G102" s="1"/>
      <c r="H102" s="1"/>
      <c r="I102" s="4" t="e">
        <f t="array" aca="1" ref="I102" ca="1">XLOOKUP(A102,#REF!,#REF!)</f>
        <v>#NAME?</v>
      </c>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row>
    <row r="103" spans="1:35" ht="22.5" customHeight="1" x14ac:dyDescent="0.15">
      <c r="A103" s="1"/>
      <c r="B103" s="1"/>
      <c r="C103" s="1"/>
      <c r="D103" s="1"/>
      <c r="E103" s="1"/>
      <c r="F103" s="3" t="e">
        <f t="array" aca="1" ref="F103" ca="1">XLOOKUP(A103,'彼此影業 劇本盲測對象調查 - 盲測初選名單 (已自動連結)'!B:B,'彼此影業 劇本盲測對象調查 - 盲測初選名單 (已自動連結)'!H:J)</f>
        <v>#NAME?</v>
      </c>
      <c r="G103" s="1"/>
      <c r="H103" s="1"/>
      <c r="I103" s="4" t="e">
        <f t="array" aca="1" ref="I103" ca="1">XLOOKUP(A103,#REF!,#REF!)</f>
        <v>#NAME?</v>
      </c>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row>
    <row r="104" spans="1:35" ht="22.5" customHeight="1" x14ac:dyDescent="0.15">
      <c r="A104" s="1"/>
      <c r="B104" s="1"/>
      <c r="C104" s="1"/>
      <c r="D104" s="1"/>
      <c r="E104" s="1"/>
      <c r="F104" s="3" t="e">
        <f t="array" aca="1" ref="F104" ca="1">XLOOKUP(A104,'彼此影業 劇本盲測對象調查 - 盲測初選名單 (已自動連結)'!B:B,'彼此影業 劇本盲測對象調查 - 盲測初選名單 (已自動連結)'!H:J)</f>
        <v>#NAME?</v>
      </c>
      <c r="G104" s="1"/>
      <c r="H104" s="1"/>
      <c r="I104" s="4" t="e">
        <f t="array" aca="1" ref="I104" ca="1">XLOOKUP(A104,#REF!,#REF!)</f>
        <v>#NAME?</v>
      </c>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row>
    <row r="105" spans="1:35" ht="22.5" customHeight="1" x14ac:dyDescent="0.15">
      <c r="A105" s="1"/>
      <c r="B105" s="1"/>
      <c r="C105" s="1"/>
      <c r="D105" s="1"/>
      <c r="E105" s="1"/>
      <c r="F105" s="3" t="e">
        <f t="array" aca="1" ref="F105" ca="1">XLOOKUP(A105,'彼此影業 劇本盲測對象調查 - 盲測初選名單 (已自動連結)'!B:B,'彼此影業 劇本盲測對象調查 - 盲測初選名單 (已自動連結)'!H:J)</f>
        <v>#NAME?</v>
      </c>
      <c r="G105" s="1"/>
      <c r="H105" s="1"/>
      <c r="I105" s="4" t="e">
        <f t="array" aca="1" ref="I105" ca="1">XLOOKUP(A105,#REF!,#REF!)</f>
        <v>#NAME?</v>
      </c>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row>
    <row r="106" spans="1:35" ht="22.5" customHeight="1" x14ac:dyDescent="0.15">
      <c r="A106" s="1"/>
      <c r="B106" s="1"/>
      <c r="C106" s="1"/>
      <c r="D106" s="1"/>
      <c r="E106" s="1"/>
      <c r="F106" s="3" t="e">
        <f t="array" aca="1" ref="F106" ca="1">XLOOKUP(A106,'彼此影業 劇本盲測對象調查 - 盲測初選名單 (已自動連結)'!B:B,'彼此影業 劇本盲測對象調查 - 盲測初選名單 (已自動連結)'!H:J)</f>
        <v>#NAME?</v>
      </c>
      <c r="G106" s="1"/>
      <c r="H106" s="1"/>
      <c r="I106" s="4" t="e">
        <f t="array" aca="1" ref="I106" ca="1">XLOOKUP(A106,#REF!,#REF!)</f>
        <v>#NAME?</v>
      </c>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row>
    <row r="107" spans="1:35" ht="22.5" customHeight="1" x14ac:dyDescent="0.15">
      <c r="A107" s="1"/>
      <c r="B107" s="1"/>
      <c r="C107" s="1"/>
      <c r="D107" s="1"/>
      <c r="E107" s="1"/>
      <c r="F107" s="3" t="e">
        <f t="array" aca="1" ref="F107" ca="1">XLOOKUP(A107,'彼此影業 劇本盲測對象調查 - 盲測初選名單 (已自動連結)'!B:B,'彼此影業 劇本盲測對象調查 - 盲測初選名單 (已自動連結)'!H:J)</f>
        <v>#NAME?</v>
      </c>
      <c r="G107" s="1"/>
      <c r="H107" s="1"/>
      <c r="I107" s="4" t="e">
        <f t="array" aca="1" ref="I107" ca="1">XLOOKUP(A107,#REF!,#REF!)</f>
        <v>#NAME?</v>
      </c>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row>
    <row r="108" spans="1:35" ht="22.5" customHeight="1" x14ac:dyDescent="0.15">
      <c r="A108" s="1"/>
      <c r="B108" s="1"/>
      <c r="C108" s="1"/>
      <c r="D108" s="1"/>
      <c r="E108" s="1"/>
      <c r="F108" s="3" t="e">
        <f t="array" aca="1" ref="F108" ca="1">XLOOKUP(A108,'彼此影業 劇本盲測對象調查 - 盲測初選名單 (已自動連結)'!B:B,'彼此影業 劇本盲測對象調查 - 盲測初選名單 (已自動連結)'!H:J)</f>
        <v>#NAME?</v>
      </c>
      <c r="G108" s="1"/>
      <c r="H108" s="1"/>
      <c r="I108" s="4" t="e">
        <f t="array" aca="1" ref="I108" ca="1">XLOOKUP(A108,#REF!,#REF!)</f>
        <v>#NAME?</v>
      </c>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row>
    <row r="109" spans="1:35" ht="22.5" customHeight="1" x14ac:dyDescent="0.15">
      <c r="A109" s="1"/>
      <c r="B109" s="1"/>
      <c r="C109" s="1"/>
      <c r="D109" s="1"/>
      <c r="E109" s="1"/>
      <c r="F109" s="3" t="e">
        <f t="array" aca="1" ref="F109" ca="1">XLOOKUP(A109,'彼此影業 劇本盲測對象調查 - 盲測初選名單 (已自動連結)'!B:B,'彼此影業 劇本盲測對象調查 - 盲測初選名單 (已自動連結)'!H:J)</f>
        <v>#NAME?</v>
      </c>
      <c r="G109" s="1"/>
      <c r="H109" s="1"/>
      <c r="I109" s="4" t="e">
        <f t="array" aca="1" ref="I109" ca="1">XLOOKUP(A109,#REF!,#REF!)</f>
        <v>#NAME?</v>
      </c>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row>
    <row r="110" spans="1:35" ht="22.5" customHeight="1" x14ac:dyDescent="0.15">
      <c r="A110" s="1"/>
      <c r="B110" s="1"/>
      <c r="C110" s="1"/>
      <c r="D110" s="1"/>
      <c r="E110" s="1"/>
      <c r="F110" s="3" t="e">
        <f t="array" aca="1" ref="F110" ca="1">XLOOKUP(A110,'彼此影業 劇本盲測對象調查 - 盲測初選名單 (已自動連結)'!B:B,'彼此影業 劇本盲測對象調查 - 盲測初選名單 (已自動連結)'!H:J)</f>
        <v>#NAME?</v>
      </c>
      <c r="G110" s="1"/>
      <c r="H110" s="1"/>
      <c r="I110" s="4" t="e">
        <f t="array" aca="1" ref="I110" ca="1">XLOOKUP(A110,#REF!,#REF!)</f>
        <v>#NAME?</v>
      </c>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row>
    <row r="111" spans="1:35" ht="22.5" customHeight="1" x14ac:dyDescent="0.15">
      <c r="A111" s="1"/>
      <c r="B111" s="1"/>
      <c r="C111" s="1"/>
      <c r="D111" s="1"/>
      <c r="E111" s="1"/>
      <c r="F111" s="3" t="e">
        <f t="array" aca="1" ref="F111" ca="1">XLOOKUP(A111,'彼此影業 劇本盲測對象調查 - 盲測初選名單 (已自動連結)'!B:B,'彼此影業 劇本盲測對象調查 - 盲測初選名單 (已自動連結)'!H:J)</f>
        <v>#NAME?</v>
      </c>
      <c r="G111" s="1"/>
      <c r="H111" s="1"/>
      <c r="I111" s="4" t="e">
        <f t="array" aca="1" ref="I111" ca="1">XLOOKUP(A111,#REF!,#REF!)</f>
        <v>#NAME?</v>
      </c>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row>
    <row r="112" spans="1:35" ht="22.5" customHeight="1" x14ac:dyDescent="0.15">
      <c r="A112" s="1"/>
      <c r="B112" s="1"/>
      <c r="C112" s="1"/>
      <c r="D112" s="1"/>
      <c r="E112" s="1"/>
      <c r="F112" s="3" t="e">
        <f t="array" aca="1" ref="F112" ca="1">XLOOKUP(A112,'彼此影業 劇本盲測對象調查 - 盲測初選名單 (已自動連結)'!B:B,'彼此影業 劇本盲測對象調查 - 盲測初選名單 (已自動連結)'!H:J)</f>
        <v>#NAME?</v>
      </c>
      <c r="G112" s="1"/>
      <c r="H112" s="1"/>
      <c r="I112" s="4" t="e">
        <f t="array" aca="1" ref="I112" ca="1">XLOOKUP(A112,#REF!,#REF!)</f>
        <v>#NAME?</v>
      </c>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row>
    <row r="113" spans="1:35" ht="22.5" customHeight="1" x14ac:dyDescent="0.15">
      <c r="A113" s="1"/>
      <c r="B113" s="1"/>
      <c r="C113" s="1"/>
      <c r="D113" s="1"/>
      <c r="E113" s="1"/>
      <c r="F113" s="3" t="e">
        <f t="array" aca="1" ref="F113" ca="1">XLOOKUP(A113,'彼此影業 劇本盲測對象調查 - 盲測初選名單 (已自動連結)'!B:B,'彼此影業 劇本盲測對象調查 - 盲測初選名單 (已自動連結)'!H:J)</f>
        <v>#NAME?</v>
      </c>
      <c r="G113" s="1"/>
      <c r="H113" s="1"/>
      <c r="I113" s="4" t="e">
        <f t="array" aca="1" ref="I113" ca="1">XLOOKUP(A113,#REF!,#REF!)</f>
        <v>#NAME?</v>
      </c>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row>
    <row r="114" spans="1:35" ht="22.5" customHeight="1" x14ac:dyDescent="0.15">
      <c r="A114" s="1"/>
      <c r="B114" s="1"/>
      <c r="C114" s="1"/>
      <c r="D114" s="1"/>
      <c r="E114" s="1"/>
      <c r="F114" s="3" t="e">
        <f t="array" aca="1" ref="F114" ca="1">XLOOKUP(A114,'彼此影業 劇本盲測對象調查 - 盲測初選名單 (已自動連結)'!B:B,'彼此影業 劇本盲測對象調查 - 盲測初選名單 (已自動連結)'!H:J)</f>
        <v>#NAME?</v>
      </c>
      <c r="G114" s="1"/>
      <c r="H114" s="1"/>
      <c r="I114" s="4" t="e">
        <f t="array" aca="1" ref="I114" ca="1">XLOOKUP(A114,#REF!,#REF!)</f>
        <v>#NAME?</v>
      </c>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row>
    <row r="115" spans="1:35" ht="22.5" customHeight="1" x14ac:dyDescent="0.15">
      <c r="A115" s="1"/>
      <c r="B115" s="1"/>
      <c r="C115" s="1"/>
      <c r="D115" s="1"/>
      <c r="E115" s="1"/>
      <c r="F115" s="3" t="e">
        <f t="array" aca="1" ref="F115" ca="1">XLOOKUP(A115,'彼此影業 劇本盲測對象調查 - 盲測初選名單 (已自動連結)'!B:B,'彼此影業 劇本盲測對象調查 - 盲測初選名單 (已自動連結)'!H:J)</f>
        <v>#NAME?</v>
      </c>
      <c r="G115" s="1"/>
      <c r="H115" s="1"/>
      <c r="I115" s="4" t="e">
        <f t="array" aca="1" ref="I115" ca="1">XLOOKUP(A115,#REF!,#REF!)</f>
        <v>#NAME?</v>
      </c>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row>
    <row r="116" spans="1:35" ht="22.5" customHeight="1" x14ac:dyDescent="0.15">
      <c r="A116" s="1"/>
      <c r="B116" s="1"/>
      <c r="C116" s="1"/>
      <c r="D116" s="1"/>
      <c r="E116" s="1"/>
      <c r="F116" s="3" t="e">
        <f t="array" aca="1" ref="F116" ca="1">XLOOKUP(A116,'彼此影業 劇本盲測對象調查 - 盲測初選名單 (已自動連結)'!B:B,'彼此影業 劇本盲測對象調查 - 盲測初選名單 (已自動連結)'!H:J)</f>
        <v>#NAME?</v>
      </c>
      <c r="G116" s="1"/>
      <c r="H116" s="1"/>
      <c r="I116" s="4" t="e">
        <f t="array" aca="1" ref="I116" ca="1">XLOOKUP(A116,#REF!,#REF!)</f>
        <v>#NAME?</v>
      </c>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row>
    <row r="117" spans="1:35" ht="22.5" customHeight="1" x14ac:dyDescent="0.15">
      <c r="A117" s="1"/>
      <c r="B117" s="1"/>
      <c r="C117" s="1"/>
      <c r="D117" s="1"/>
      <c r="E117" s="1"/>
      <c r="F117" s="3" t="e">
        <f t="array" aca="1" ref="F117" ca="1">XLOOKUP(A117,'彼此影業 劇本盲測對象調查 - 盲測初選名單 (已自動連結)'!B:B,'彼此影業 劇本盲測對象調查 - 盲測初選名單 (已自動連結)'!H:J)</f>
        <v>#NAME?</v>
      </c>
      <c r="G117" s="1"/>
      <c r="H117" s="1"/>
      <c r="I117" s="4" t="e">
        <f t="array" aca="1" ref="I117" ca="1">XLOOKUP(A117,#REF!,#REF!)</f>
        <v>#NAME?</v>
      </c>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row>
    <row r="118" spans="1:35" ht="22.5" customHeight="1" x14ac:dyDescent="0.15">
      <c r="A118" s="1"/>
      <c r="B118" s="1"/>
      <c r="C118" s="1"/>
      <c r="D118" s="1"/>
      <c r="E118" s="1"/>
      <c r="F118" s="3" t="e">
        <f t="array" aca="1" ref="F118" ca="1">XLOOKUP(A118,'彼此影業 劇本盲測對象調查 - 盲測初選名單 (已自動連結)'!B:B,'彼此影業 劇本盲測對象調查 - 盲測初選名單 (已自動連結)'!H:J)</f>
        <v>#NAME?</v>
      </c>
      <c r="G118" s="1"/>
      <c r="H118" s="1"/>
      <c r="I118" s="4" t="e">
        <f t="array" aca="1" ref="I118" ca="1">XLOOKUP(A118,#REF!,#REF!)</f>
        <v>#NAME?</v>
      </c>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row>
    <row r="119" spans="1:35" ht="22.5" customHeight="1" x14ac:dyDescent="0.15">
      <c r="A119" s="1"/>
      <c r="B119" s="1"/>
      <c r="C119" s="1"/>
      <c r="D119" s="1"/>
      <c r="E119" s="1"/>
      <c r="F119" s="3" t="e">
        <f t="array" aca="1" ref="F119" ca="1">XLOOKUP(A119,'彼此影業 劇本盲測對象調查 - 盲測初選名單 (已自動連結)'!B:B,'彼此影業 劇本盲測對象調查 - 盲測初選名單 (已自動連結)'!H:J)</f>
        <v>#NAME?</v>
      </c>
      <c r="G119" s="1"/>
      <c r="H119" s="1"/>
      <c r="I119" s="4" t="e">
        <f t="array" aca="1" ref="I119" ca="1">XLOOKUP(A119,#REF!,#REF!)</f>
        <v>#NAME?</v>
      </c>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row>
    <row r="120" spans="1:35" ht="22.5" customHeight="1" x14ac:dyDescent="0.15">
      <c r="A120" s="1"/>
      <c r="B120" s="1"/>
      <c r="C120" s="1"/>
      <c r="D120" s="1"/>
      <c r="E120" s="1"/>
      <c r="F120" s="3" t="e">
        <f t="array" aca="1" ref="F120" ca="1">XLOOKUP(A120,'彼此影業 劇本盲測對象調查 - 盲測初選名單 (已自動連結)'!B:B,'彼此影業 劇本盲測對象調查 - 盲測初選名單 (已自動連結)'!H:J)</f>
        <v>#NAME?</v>
      </c>
      <c r="G120" s="1"/>
      <c r="H120" s="1"/>
      <c r="I120" s="4" t="e">
        <f t="array" aca="1" ref="I120" ca="1">XLOOKUP(A120,#REF!,#REF!)</f>
        <v>#NAME?</v>
      </c>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row>
    <row r="121" spans="1:35" ht="22.5" customHeight="1" x14ac:dyDescent="0.15">
      <c r="A121" s="1"/>
      <c r="B121" s="1"/>
      <c r="C121" s="1"/>
      <c r="D121" s="1"/>
      <c r="E121" s="1"/>
      <c r="F121" s="3" t="e">
        <f t="array" aca="1" ref="F121" ca="1">XLOOKUP(A121,'彼此影業 劇本盲測對象調查 - 盲測初選名單 (已自動連結)'!B:B,'彼此影業 劇本盲測對象調查 - 盲測初選名單 (已自動連結)'!H:J)</f>
        <v>#NAME?</v>
      </c>
      <c r="G121" s="1"/>
      <c r="H121" s="1"/>
      <c r="I121" s="4" t="e">
        <f t="array" aca="1" ref="I121" ca="1">XLOOKUP(A121,#REF!,#REF!)</f>
        <v>#NAME?</v>
      </c>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row>
    <row r="122" spans="1:35" ht="22.5" customHeight="1" x14ac:dyDescent="0.15">
      <c r="A122" s="1"/>
      <c r="B122" s="1"/>
      <c r="C122" s="1"/>
      <c r="D122" s="1"/>
      <c r="E122" s="1"/>
      <c r="F122" s="3" t="e">
        <f t="array" aca="1" ref="F122" ca="1">XLOOKUP(A122,'彼此影業 劇本盲測對象調查 - 盲測初選名單 (已自動連結)'!B:B,'彼此影業 劇本盲測對象調查 - 盲測初選名單 (已自動連結)'!H:J)</f>
        <v>#NAME?</v>
      </c>
      <c r="G122" s="1"/>
      <c r="H122" s="1"/>
      <c r="I122" s="4" t="e">
        <f t="array" aca="1" ref="I122" ca="1">XLOOKUP(A122,#REF!,#REF!)</f>
        <v>#NAME?</v>
      </c>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row>
    <row r="123" spans="1:35" ht="22.5" customHeight="1" x14ac:dyDescent="0.15">
      <c r="A123" s="1"/>
      <c r="B123" s="1"/>
      <c r="C123" s="1"/>
      <c r="D123" s="1"/>
      <c r="E123" s="1"/>
      <c r="F123" s="3" t="e">
        <f t="array" aca="1" ref="F123" ca="1">XLOOKUP(A123,'彼此影業 劇本盲測對象調查 - 盲測初選名單 (已自動連結)'!B:B,'彼此影業 劇本盲測對象調查 - 盲測初選名單 (已自動連結)'!H:J)</f>
        <v>#NAME?</v>
      </c>
      <c r="G123" s="1"/>
      <c r="H123" s="1"/>
      <c r="I123" s="4" t="e">
        <f t="array" aca="1" ref="I123" ca="1">XLOOKUP(A123,#REF!,#REF!)</f>
        <v>#NAME?</v>
      </c>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row>
    <row r="124" spans="1:35" ht="22.5" customHeight="1" x14ac:dyDescent="0.15">
      <c r="A124" s="1"/>
      <c r="B124" s="1"/>
      <c r="C124" s="1"/>
      <c r="D124" s="1"/>
      <c r="E124" s="1"/>
      <c r="F124" s="3" t="e">
        <f t="array" aca="1" ref="F124" ca="1">XLOOKUP(A124,'彼此影業 劇本盲測對象調查 - 盲測初選名單 (已自動連結)'!B:B,'彼此影業 劇本盲測對象調查 - 盲測初選名單 (已自動連結)'!H:J)</f>
        <v>#NAME?</v>
      </c>
      <c r="G124" s="1"/>
      <c r="H124" s="1"/>
      <c r="I124" s="4" t="e">
        <f t="array" aca="1" ref="I124" ca="1">XLOOKUP(A124,#REF!,#REF!)</f>
        <v>#NAME?</v>
      </c>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row>
    <row r="125" spans="1:35" ht="22.5" customHeight="1" x14ac:dyDescent="0.15">
      <c r="A125" s="1"/>
      <c r="B125" s="1"/>
      <c r="C125" s="1"/>
      <c r="D125" s="1"/>
      <c r="E125" s="1"/>
      <c r="F125" s="3" t="e">
        <f t="array" aca="1" ref="F125" ca="1">XLOOKUP(A125,'彼此影業 劇本盲測對象調查 - 盲測初選名單 (已自動連結)'!B:B,'彼此影業 劇本盲測對象調查 - 盲測初選名單 (已自動連結)'!H:J)</f>
        <v>#NAME?</v>
      </c>
      <c r="G125" s="1"/>
      <c r="H125" s="1"/>
      <c r="I125" s="4" t="e">
        <f t="array" aca="1" ref="I125" ca="1">XLOOKUP(A125,#REF!,#REF!)</f>
        <v>#NAME?</v>
      </c>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row>
    <row r="126" spans="1:35" ht="22.5" customHeight="1" x14ac:dyDescent="0.15">
      <c r="A126" s="1"/>
      <c r="B126" s="1"/>
      <c r="C126" s="1"/>
      <c r="D126" s="1"/>
      <c r="E126" s="1"/>
      <c r="F126" s="3" t="e">
        <f t="array" aca="1" ref="F126" ca="1">XLOOKUP(A126,'彼此影業 劇本盲測對象調查 - 盲測初選名單 (已自動連結)'!B:B,'彼此影業 劇本盲測對象調查 - 盲測初選名單 (已自動連結)'!H:J)</f>
        <v>#NAME?</v>
      </c>
      <c r="G126" s="1"/>
      <c r="H126" s="1"/>
      <c r="I126" s="4" t="e">
        <f t="array" aca="1" ref="I126" ca="1">XLOOKUP(A126,#REF!,#REF!)</f>
        <v>#NAME?</v>
      </c>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row>
    <row r="127" spans="1:35" ht="22.5" customHeight="1" x14ac:dyDescent="0.15">
      <c r="A127" s="1"/>
      <c r="B127" s="1"/>
      <c r="C127" s="1"/>
      <c r="D127" s="1"/>
      <c r="E127" s="1"/>
      <c r="F127" s="3" t="e">
        <f t="array" aca="1" ref="F127" ca="1">XLOOKUP(A127,'彼此影業 劇本盲測對象調查 - 盲測初選名單 (已自動連結)'!B:B,'彼此影業 劇本盲測對象調查 - 盲測初選名單 (已自動連結)'!H:J)</f>
        <v>#NAME?</v>
      </c>
      <c r="G127" s="1"/>
      <c r="H127" s="1"/>
      <c r="I127" s="4" t="e">
        <f t="array" aca="1" ref="I127" ca="1">XLOOKUP(A127,#REF!,#REF!)</f>
        <v>#NAME?</v>
      </c>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row>
    <row r="128" spans="1:35" ht="22.5" customHeight="1" x14ac:dyDescent="0.15">
      <c r="A128" s="1"/>
      <c r="B128" s="1"/>
      <c r="C128" s="1"/>
      <c r="D128" s="1"/>
      <c r="E128" s="1"/>
      <c r="F128" s="3" t="e">
        <f t="array" aca="1" ref="F128" ca="1">XLOOKUP(A128,'彼此影業 劇本盲測對象調查 - 盲測初選名單 (已自動連結)'!B:B,'彼此影業 劇本盲測對象調查 - 盲測初選名單 (已自動連結)'!H:J)</f>
        <v>#NAME?</v>
      </c>
      <c r="G128" s="1"/>
      <c r="H128" s="1"/>
      <c r="I128" s="4" t="e">
        <f t="array" aca="1" ref="I128" ca="1">XLOOKUP(A128,#REF!,#REF!)</f>
        <v>#NAME?</v>
      </c>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row>
    <row r="129" spans="1:35" ht="22.5" customHeight="1" x14ac:dyDescent="0.15">
      <c r="A129" s="1"/>
      <c r="B129" s="1"/>
      <c r="C129" s="1"/>
      <c r="D129" s="1"/>
      <c r="E129" s="1"/>
      <c r="F129" s="3" t="e">
        <f t="array" aca="1" ref="F129" ca="1">XLOOKUP(A129,'彼此影業 劇本盲測對象調查 - 盲測初選名單 (已自動連結)'!B:B,'彼此影業 劇本盲測對象調查 - 盲測初選名單 (已自動連結)'!H:J)</f>
        <v>#NAME?</v>
      </c>
      <c r="G129" s="1"/>
      <c r="H129" s="1"/>
      <c r="I129" s="4" t="e">
        <f t="array" aca="1" ref="I129" ca="1">XLOOKUP(A129,#REF!,#REF!)</f>
        <v>#NAME?</v>
      </c>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row>
    <row r="130" spans="1:35" ht="22.5" customHeight="1" x14ac:dyDescent="0.15">
      <c r="A130" s="1"/>
      <c r="B130" s="1"/>
      <c r="C130" s="1"/>
      <c r="D130" s="1"/>
      <c r="E130" s="1"/>
      <c r="F130" s="3" t="e">
        <f t="array" aca="1" ref="F130" ca="1">XLOOKUP(A130,'彼此影業 劇本盲測對象調查 - 盲測初選名單 (已自動連結)'!B:B,'彼此影業 劇本盲測對象調查 - 盲測初選名單 (已自動連結)'!H:J)</f>
        <v>#NAME?</v>
      </c>
      <c r="G130" s="1"/>
      <c r="H130" s="1"/>
      <c r="I130" s="4" t="e">
        <f t="array" aca="1" ref="I130" ca="1">XLOOKUP(A130,#REF!,#REF!)</f>
        <v>#NAME?</v>
      </c>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row>
    <row r="131" spans="1:35" ht="22.5" customHeight="1" x14ac:dyDescent="0.15">
      <c r="A131" s="1"/>
      <c r="B131" s="1"/>
      <c r="C131" s="1"/>
      <c r="D131" s="1"/>
      <c r="E131" s="1"/>
      <c r="F131" s="3" t="e">
        <f t="array" aca="1" ref="F131" ca="1">XLOOKUP(A131,'彼此影業 劇本盲測對象調查 - 盲測初選名單 (已自動連結)'!B:B,'彼此影業 劇本盲測對象調查 - 盲測初選名單 (已自動連結)'!H:J)</f>
        <v>#NAME?</v>
      </c>
      <c r="G131" s="1"/>
      <c r="H131" s="1"/>
      <c r="I131" s="4" t="e">
        <f t="array" aca="1" ref="I131" ca="1">XLOOKUP(A131,#REF!,#REF!)</f>
        <v>#NAME?</v>
      </c>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row>
  </sheetData>
  <phoneticPr fontId="9" type="noConversion"/>
  <hyperlinks>
    <hyperlink ref="S16" r:id="rId1" display="https://docs.google.com/document/d/1quiLSRzF1POfIy8lg6DAbXBOJyo19HT7GBhHmk_NKd0/edit?usp=drive_link" xr:uid="{00000000-0004-0000-0400-000000000000}"/>
    <hyperlink ref="U16" r:id="rId2" display="https://docs.google.com/document/d/1quiLSRzF1POfIy8lg6DAbXBOJyo19HT7GBhHmk_NKd0/edit?usp=drive_link" xr:uid="{00000000-0004-0000-0400-000001000000}"/>
  </hyperlinks>
  <pageMargins left="0.7" right="0.7" top="0.75" bottom="0.75" header="0.3" footer="0.3"/>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55"/>
  <sheetViews>
    <sheetView workbookViewId="0">
      <pane ySplit="1" topLeftCell="A2" activePane="bottomLeft" state="frozen"/>
      <selection pane="bottomLeft" activeCell="B3" sqref="B3"/>
    </sheetView>
  </sheetViews>
  <sheetFormatPr baseColWidth="10" defaultColWidth="12.6640625" defaultRowHeight="15.75" customHeight="1" x14ac:dyDescent="0.15"/>
  <sheetData>
    <row r="1" spans="1:12" ht="22.5" customHeight="1" x14ac:dyDescent="0.15">
      <c r="A1" s="15" t="s">
        <v>625</v>
      </c>
      <c r="B1" s="15" t="s">
        <v>0</v>
      </c>
      <c r="C1" s="15" t="s">
        <v>626</v>
      </c>
      <c r="D1" s="15" t="s">
        <v>631</v>
      </c>
      <c r="E1" s="15" t="s">
        <v>1</v>
      </c>
      <c r="F1" s="15" t="s">
        <v>2</v>
      </c>
      <c r="G1" s="15" t="s">
        <v>4</v>
      </c>
      <c r="H1" s="15" t="s">
        <v>5</v>
      </c>
      <c r="I1" s="16" t="s">
        <v>6</v>
      </c>
      <c r="J1" s="16" t="s">
        <v>7</v>
      </c>
      <c r="K1" s="15" t="s">
        <v>632</v>
      </c>
      <c r="L1" s="15" t="s">
        <v>633</v>
      </c>
    </row>
    <row r="2" spans="1:12" ht="22.5" customHeight="1" x14ac:dyDescent="0.15">
      <c r="A2" s="17">
        <f ca="1">IFERROR(__xludf.DUMMYFUNCTION("IMPORTRANGE(""https://docs.google.com/spreadsheets/d/1o2jKgwX9OpC4cn_QWruMvsXDdcjVQZgcYO2Mdkj-NLM/edit?gid=625606452#gid=625606452"",""盲測初選名單!B2:M55"")"),46063.6549930208)</f>
        <v>46063.654993020798</v>
      </c>
      <c r="B2" s="18" t="str">
        <f ca="1">IFERROR(__xludf.DUMMYFUNCTION("""COMPUTED_VALUE"""),"黃楷云")</f>
        <v>黃楷云</v>
      </c>
      <c r="C2" s="18" t="str">
        <f ca="1">IFERROR(__xludf.DUMMYFUNCTION("""COMPUTED_VALUE"""),"cota1010@gmail.com")</f>
        <v>cota1010@gmail.com</v>
      </c>
      <c r="D2" s="18"/>
      <c r="E2" s="18" t="str">
        <f ca="1">IFERROR(__xludf.DUMMYFUNCTION("""COMPUTED_VALUE"""),"生理女")</f>
        <v>生理女</v>
      </c>
      <c r="F2" s="18" t="str">
        <f ca="1">IFERROR(__xludf.DUMMYFUNCTION("""COMPUTED_VALUE"""),"16-20")</f>
        <v>16-20</v>
      </c>
      <c r="G2" s="18" t="str">
        <f ca="1">IFERROR(__xludf.DUMMYFUNCTION("""COMPUTED_VALUE"""),"高中一年級")</f>
        <v>高中一年級</v>
      </c>
      <c r="H2" s="18" t="str">
        <f ca="1">IFERROR(__xludf.DUMMYFUNCTION("""COMPUTED_VALUE"""),"三個月一次")</f>
        <v>三個月一次</v>
      </c>
      <c r="I2" s="18" t="str">
        <f ca="1">IFERROR(__xludf.DUMMYFUNCTION("""COMPUTED_VALUE"""),"動物方城市2、鏈鋸人蕾潔篇")</f>
        <v>動物方城市2、鏈鋸人蕾潔篇</v>
      </c>
      <c r="J2" s="18" t="str">
        <f ca="1">IFERROR(__xludf.DUMMYFUNCTION("""COMPUTED_VALUE"""),"動漫片")</f>
        <v>動漫片</v>
      </c>
      <c r="K2" s="18" t="str">
        <f ca="1">IFERROR(__xludf.DUMMYFUNCTION("""COMPUTED_VALUE"""),"媽媽的同學")</f>
        <v>媽媽的同學</v>
      </c>
      <c r="L2" s="18" t="str">
        <f ca="1">IFERROR(__xludf.DUMMYFUNCTION("""COMPUTED_VALUE"""),"無")</f>
        <v>無</v>
      </c>
    </row>
    <row r="3" spans="1:12" ht="22.5" customHeight="1" x14ac:dyDescent="0.15">
      <c r="A3" s="17">
        <f ca="1">IFERROR(__xludf.DUMMYFUNCTION("""COMPUTED_VALUE"""),46062.7757059606)</f>
        <v>46062.775705960601</v>
      </c>
      <c r="B3" s="18" t="str">
        <f ca="1">IFERROR(__xludf.DUMMYFUNCTION("""COMPUTED_VALUE"""),"郭冠璟")</f>
        <v>郭冠璟</v>
      </c>
      <c r="C3" s="18" t="str">
        <f ca="1">IFERROR(__xludf.DUMMYFUNCTION("""COMPUTED_VALUE"""),"mztkhd@gmail.com")</f>
        <v>mztkhd@gmail.com</v>
      </c>
      <c r="D3" s="18"/>
      <c r="E3" s="18" t="str">
        <f ca="1">IFERROR(__xludf.DUMMYFUNCTION("""COMPUTED_VALUE"""),"生理女")</f>
        <v>生理女</v>
      </c>
      <c r="F3" s="18" t="str">
        <f ca="1">IFERROR(__xludf.DUMMYFUNCTION("""COMPUTED_VALUE"""),"21-25")</f>
        <v>21-25</v>
      </c>
      <c r="G3" s="18" t="str">
        <f ca="1">IFERROR(__xludf.DUMMYFUNCTION("""COMPUTED_VALUE"""),"法律系")</f>
        <v>法律系</v>
      </c>
      <c r="H3" s="18" t="str">
        <f ca="1">IFERROR(__xludf.DUMMYFUNCTION("""COMPUTED_VALUE"""),"一個月一次")</f>
        <v>一個月一次</v>
      </c>
      <c r="I3" s="18" t="str">
        <f ca="1">IFERROR(__xludf.DUMMYFUNCTION("""COMPUTED_VALUE"""),"阿凡達3、大濛、陽光女子合唱團")</f>
        <v>阿凡達3、大濛、陽光女子合唱團</v>
      </c>
      <c r="J3" s="18" t="str">
        <f ca="1">IFERROR(__xludf.DUMMYFUNCTION("""COMPUTED_VALUE"""),"超級英雄片（如：Marvel、DC）, 動作片 (如：007、不可能的任務、玩命關頭), 刑偵片, 科幻片, 奇幻冒險片（如：哈利波特系列、魔戒）, 浪漫愛情片, 文藝劇情片, 動漫片, 喜劇片")</f>
        <v>超級英雄片（如：Marvel、DC）, 動作片 (如：007、不可能的任務、玩命關頭), 刑偵片, 科幻片, 奇幻冒險片（如：哈利波特系列、魔戒）, 浪漫愛情片, 文藝劇情片, 動漫片, 喜劇片</v>
      </c>
      <c r="K3" s="18" t="str">
        <f ca="1">IFERROR(__xludf.DUMMYFUNCTION("""COMPUTED_VALUE"""),"章睿棻")</f>
        <v>章睿棻</v>
      </c>
      <c r="L3" s="18"/>
    </row>
    <row r="4" spans="1:12" ht="22.5" customHeight="1" x14ac:dyDescent="0.15">
      <c r="A4" s="17">
        <f ca="1">IFERROR(__xludf.DUMMYFUNCTION("""COMPUTED_VALUE"""),46063.0066805902)</f>
        <v>46063.006680590202</v>
      </c>
      <c r="B4" s="18" t="str">
        <f ca="1">IFERROR(__xludf.DUMMYFUNCTION("""COMPUTED_VALUE"""),"蕭惠心Ema")</f>
        <v>蕭惠心Ema</v>
      </c>
      <c r="C4" s="18" t="str">
        <f ca="1">IFERROR(__xludf.DUMMYFUNCTION("""COMPUTED_VALUE"""),"ema.ema.xiao@gmail.com")</f>
        <v>ema.ema.xiao@gmail.com</v>
      </c>
      <c r="D4" s="18"/>
      <c r="E4" s="18" t="str">
        <f ca="1">IFERROR(__xludf.DUMMYFUNCTION("""COMPUTED_VALUE"""),"生理女")</f>
        <v>生理女</v>
      </c>
      <c r="F4" s="18" t="str">
        <f ca="1">IFERROR(__xludf.DUMMYFUNCTION("""COMPUTED_VALUE"""),"21-25")</f>
        <v>21-25</v>
      </c>
      <c r="G4" s="18" t="str">
        <f ca="1">IFERROR(__xludf.DUMMYFUNCTION("""COMPUTED_VALUE"""),"科技新創 / 公共衛生")</f>
        <v>科技新創 / 公共衛生</v>
      </c>
      <c r="H4" s="18" t="str">
        <f ca="1">IFERROR(__xludf.DUMMYFUNCTION("""COMPUTED_VALUE"""),"三個月一次")</f>
        <v>三個月一次</v>
      </c>
      <c r="I4" s="18" t="str">
        <f ca="1">IFERROR(__xludf.DUMMYFUNCTION("""COMPUTED_VALUE"""),"大濛")</f>
        <v>大濛</v>
      </c>
      <c r="J4" s="18" t="str">
        <f ca="1">IFERROR(__xludf.DUMMYFUNCTION("""COMPUTED_VALUE"""),"超級英雄片（如：Marvel、DC）, 科幻片, 奇幻冒險片（如：哈利波特系列、魔戒）, 浪漫愛情片, 文藝劇情片, 動漫片")</f>
        <v>超級英雄片（如：Marvel、DC）, 科幻片, 奇幻冒險片（如：哈利波特系列、魔戒）, 浪漫愛情片, 文藝劇情片, 動漫片</v>
      </c>
      <c r="K4" s="18" t="str">
        <f ca="1">IFERROR(__xludf.DUMMYFUNCTION("""COMPUTED_VALUE"""),"子儀")</f>
        <v>子儀</v>
      </c>
      <c r="L4" s="18"/>
    </row>
    <row r="5" spans="1:12" ht="22.5" customHeight="1" x14ac:dyDescent="0.15">
      <c r="A5" s="17">
        <f ca="1">IFERROR(__xludf.DUMMYFUNCTION("""COMPUTED_VALUE"""),46064.8310731018)</f>
        <v>46064.831073101799</v>
      </c>
      <c r="B5" s="18" t="str">
        <f ca="1">IFERROR(__xludf.DUMMYFUNCTION("""COMPUTED_VALUE"""),"蔡炘誼")</f>
        <v>蔡炘誼</v>
      </c>
      <c r="C5" s="18" t="str">
        <f ca="1">IFERROR(__xludf.DUMMYFUNCTION("""COMPUTED_VALUE"""),"jasmine921030@gmail.com")</f>
        <v>jasmine921030@gmail.com</v>
      </c>
      <c r="D5" s="18" t="str">
        <f ca="1">IFERROR(__xludf.DUMMYFUNCTION("""COMPUTED_VALUE"""),"0988893660")</f>
        <v>0988893660</v>
      </c>
      <c r="E5" s="18" t="str">
        <f ca="1">IFERROR(__xludf.DUMMYFUNCTION("""COMPUTED_VALUE"""),"生理女")</f>
        <v>生理女</v>
      </c>
      <c r="F5" s="18" t="str">
        <f ca="1">IFERROR(__xludf.DUMMYFUNCTION("""COMPUTED_VALUE"""),"21-25")</f>
        <v>21-25</v>
      </c>
      <c r="G5" s="18" t="str">
        <f ca="1">IFERROR(__xludf.DUMMYFUNCTION("""COMPUTED_VALUE"""),"資管／外文")</f>
        <v>資管／外文</v>
      </c>
      <c r="H5" s="18" t="str">
        <f ca="1">IFERROR(__xludf.DUMMYFUNCTION("""COMPUTED_VALUE"""),"三個月一次")</f>
        <v>三個月一次</v>
      </c>
      <c r="I5" s="18" t="str">
        <f ca="1">IFERROR(__xludf.DUMMYFUNCTION("""COMPUTED_VALUE"""),"最新的那部漫威 忘記名字了")</f>
        <v>最新的那部漫威 忘記名字了</v>
      </c>
      <c r="J5" s="18" t="str">
        <f ca="1">IFERROR(__xludf.DUMMYFUNCTION("""COMPUTED_VALUE"""),"超級英雄片（如：Marvel、DC）, 動作片 (如：007、不可能的任務、玩命關頭), 刑偵片, 喜劇片")</f>
        <v>超級英雄片（如：Marvel、DC）, 動作片 (如：007、不可能的任務、玩命關頭), 刑偵片, 喜劇片</v>
      </c>
      <c r="K5" s="18"/>
      <c r="L5" s="18"/>
    </row>
    <row r="6" spans="1:12" ht="22.5" customHeight="1" x14ac:dyDescent="0.15">
      <c r="A6" s="17">
        <f ca="1">IFERROR(__xludf.DUMMYFUNCTION("""COMPUTED_VALUE"""),46064.6576416782)</f>
        <v>46064.657641678197</v>
      </c>
      <c r="B6" s="18" t="str">
        <f ca="1">IFERROR(__xludf.DUMMYFUNCTION("""COMPUTED_VALUE"""),"李品誼")</f>
        <v>李品誼</v>
      </c>
      <c r="C6" s="18" t="str">
        <f ca="1">IFERROR(__xludf.DUMMYFUNCTION("""COMPUTED_VALUE"""),"tyu3le@gmail.com")</f>
        <v>tyu3le@gmail.com</v>
      </c>
      <c r="D6" s="18"/>
      <c r="E6" s="18" t="str">
        <f ca="1">IFERROR(__xludf.DUMMYFUNCTION("""COMPUTED_VALUE"""),"生理女")</f>
        <v>生理女</v>
      </c>
      <c r="F6" s="18" t="str">
        <f ca="1">IFERROR(__xludf.DUMMYFUNCTION("""COMPUTED_VALUE"""),"21-25")</f>
        <v>21-25</v>
      </c>
      <c r="G6" s="18" t="str">
        <f ca="1">IFERROR(__xludf.DUMMYFUNCTION("""COMPUTED_VALUE"""),"電子")</f>
        <v>電子</v>
      </c>
      <c r="H6" s="18" t="str">
        <f ca="1">IFERROR(__xludf.DUMMYFUNCTION("""COMPUTED_VALUE"""),"三個月一次")</f>
        <v>三個月一次</v>
      </c>
      <c r="I6" s="18" t="str">
        <f ca="1">IFERROR(__xludf.DUMMYFUNCTION("""COMPUTED_VALUE"""),"陽光女子合唱團、家弒服務")</f>
        <v>陽光女子合唱團、家弒服務</v>
      </c>
      <c r="J6" s="18" t="str">
        <f ca="1">IFERROR(__xludf.DUMMYFUNCTION("""COMPUTED_VALUE"""),"超級英雄片（如：Marvel、DC）, 動作片 (如：007、不可能的任務、玩命關頭), 奇幻冒險片（如：哈利波特系列、魔戒）, 浪漫愛情片")</f>
        <v>超級英雄片（如：Marvel、DC）, 動作片 (如：007、不可能的任務、玩命關頭), 奇幻冒險片（如：哈利波特系列、魔戒）, 浪漫愛情片</v>
      </c>
      <c r="K6" s="18" t="str">
        <f ca="1">IFERROR(__xludf.DUMMYFUNCTION("""COMPUTED_VALUE"""),"Josie")</f>
        <v>Josie</v>
      </c>
      <c r="L6" s="18"/>
    </row>
    <row r="7" spans="1:12" ht="22.5" customHeight="1" x14ac:dyDescent="0.15">
      <c r="A7" s="17">
        <f ca="1">IFERROR(__xludf.DUMMYFUNCTION("""COMPUTED_VALUE"""),46062.90745103)</f>
        <v>46062.907451029998</v>
      </c>
      <c r="B7" s="18" t="str">
        <f ca="1">IFERROR(__xludf.DUMMYFUNCTION("""COMPUTED_VALUE"""),"張旭華")</f>
        <v>張旭華</v>
      </c>
      <c r="C7" s="18" t="str">
        <f ca="1">IFERROR(__xludf.DUMMYFUNCTION("""COMPUTED_VALUE"""),"valeriec0105@gmail.com")</f>
        <v>valeriec0105@gmail.com</v>
      </c>
      <c r="D7" s="18"/>
      <c r="E7" s="18" t="str">
        <f ca="1">IFERROR(__xludf.DUMMYFUNCTION("""COMPUTED_VALUE"""),"生理女")</f>
        <v>生理女</v>
      </c>
      <c r="F7" s="18" t="str">
        <f ca="1">IFERROR(__xludf.DUMMYFUNCTION("""COMPUTED_VALUE"""),"21-25")</f>
        <v>21-25</v>
      </c>
      <c r="G7" s="18" t="str">
        <f ca="1">IFERROR(__xludf.DUMMYFUNCTION("""COMPUTED_VALUE"""),"銀行")</f>
        <v>銀行</v>
      </c>
      <c r="H7" s="18" t="str">
        <f ca="1">IFERROR(__xludf.DUMMYFUNCTION("""COMPUTED_VALUE"""),"三個月一次")</f>
        <v>三個月一次</v>
      </c>
      <c r="I7" s="18" t="str">
        <f ca="1">IFERROR(__xludf.DUMMYFUNCTION("""COMPUTED_VALUE"""),"陽光少女合唱團")</f>
        <v>陽光少女合唱團</v>
      </c>
      <c r="J7" s="18" t="str">
        <f ca="1">IFERROR(__xludf.DUMMYFUNCTION("""COMPUTED_VALUE"""),"超級英雄片（如：Marvel、DC）, 動作片 (如：007、不可能的任務、玩命關頭), 刑偵片, 科幻片, 奇幻冒險片（如：哈利波特系列、魔戒）, 恐怖片, 喜劇片")</f>
        <v>超級英雄片（如：Marvel、DC）, 動作片 (如：007、不可能的任務、玩命關頭), 刑偵片, 科幻片, 奇幻冒險片（如：哈利波特系列、魔戒）, 恐怖片, 喜劇片</v>
      </c>
      <c r="K7" s="18" t="str">
        <f ca="1">IFERROR(__xludf.DUMMYFUNCTION("""COMPUTED_VALUE"""),"劉玟玲Emma💩")</f>
        <v>劉玟玲Emma💩</v>
      </c>
      <c r="L7" s="18" t="str">
        <f ca="1">IFERROR(__xludf.DUMMYFUNCTION("""COMPUTED_VALUE"""),"六文林👍🏻")</f>
        <v>六文林👍🏻</v>
      </c>
    </row>
    <row r="8" spans="1:12" ht="22.5" customHeight="1" x14ac:dyDescent="0.15">
      <c r="A8" s="17">
        <f ca="1">IFERROR(__xludf.DUMMYFUNCTION("""COMPUTED_VALUE"""),46064.0296110763)</f>
        <v>46064.029611076301</v>
      </c>
      <c r="B8" s="18" t="str">
        <f ca="1">IFERROR(__xludf.DUMMYFUNCTION("""COMPUTED_VALUE"""),"陳巧孟")</f>
        <v>陳巧孟</v>
      </c>
      <c r="C8" s="18" t="str">
        <f ca="1">IFERROR(__xludf.DUMMYFUNCTION("""COMPUTED_VALUE"""),"m987652m68@gmail.com")</f>
        <v>m987652m68@gmail.com</v>
      </c>
      <c r="D8" s="18"/>
      <c r="E8" s="18" t="str">
        <f ca="1">IFERROR(__xludf.DUMMYFUNCTION("""COMPUTED_VALUE"""),"生理女")</f>
        <v>生理女</v>
      </c>
      <c r="F8" s="18" t="str">
        <f ca="1">IFERROR(__xludf.DUMMYFUNCTION("""COMPUTED_VALUE"""),"26-30")</f>
        <v>26-30</v>
      </c>
      <c r="G8" s="18" t="str">
        <f ca="1">IFERROR(__xludf.DUMMYFUNCTION("""COMPUTED_VALUE"""),"房地產相關")</f>
        <v>房地產相關</v>
      </c>
      <c r="H8" s="18" t="str">
        <f ca="1">IFERROR(__xludf.DUMMYFUNCTION("""COMPUTED_VALUE"""),"三個月一次")</f>
        <v>三個月一次</v>
      </c>
      <c r="I8" s="18" t="str">
        <f ca="1">IFERROR(__xludf.DUMMYFUNCTION("""COMPUTED_VALUE"""),"大濛、左撇子女孩、女孩 ")</f>
        <v xml:space="preserve">大濛、左撇子女孩、女孩 </v>
      </c>
      <c r="J8" s="18" t="str">
        <f ca="1">IFERROR(__xludf.DUMMYFUNCTION("""COMPUTED_VALUE"""),"超級英雄片（如：Marvel、DC）, 奇幻冒險片（如：哈利波特系列、魔戒）, 文藝劇情片, 動漫片")</f>
        <v>超級英雄片（如：Marvel、DC）, 奇幻冒險片（如：哈利波特系列、魔戒）, 文藝劇情片, 動漫片</v>
      </c>
      <c r="K8" s="18" t="str">
        <f ca="1">IFERROR(__xludf.DUMMYFUNCTION("""COMPUTED_VALUE"""),"劉宛玲")</f>
        <v>劉宛玲</v>
      </c>
      <c r="L8" s="18"/>
    </row>
    <row r="9" spans="1:12" ht="22.5" customHeight="1" x14ac:dyDescent="0.15">
      <c r="A9" s="17">
        <f ca="1">IFERROR(__xludf.DUMMYFUNCTION("""COMPUTED_VALUE"""),46064.6852392939)</f>
        <v>46064.685239293904</v>
      </c>
      <c r="B9" s="18" t="str">
        <f ca="1">IFERROR(__xludf.DUMMYFUNCTION("""COMPUTED_VALUE"""),"許若莉")</f>
        <v>許若莉</v>
      </c>
      <c r="C9" s="18" t="str">
        <f ca="1">IFERROR(__xludf.DUMMYFUNCTION("""COMPUTED_VALUE"""),"r2olyainbow@gmail.com")</f>
        <v>r2olyainbow@gmail.com</v>
      </c>
      <c r="D9" s="18" t="str">
        <f ca="1">IFERROR(__xludf.DUMMYFUNCTION("""COMPUTED_VALUE"""),"0917828628")</f>
        <v>0917828628</v>
      </c>
      <c r="E9" s="18" t="str">
        <f ca="1">IFERROR(__xludf.DUMMYFUNCTION("""COMPUTED_VALUE"""),"生理女")</f>
        <v>生理女</v>
      </c>
      <c r="F9" s="18" t="str">
        <f ca="1">IFERROR(__xludf.DUMMYFUNCTION("""COMPUTED_VALUE"""),"26-30")</f>
        <v>26-30</v>
      </c>
      <c r="G9" s="18" t="str">
        <f ca="1">IFERROR(__xludf.DUMMYFUNCTION("""COMPUTED_VALUE"""),"服務業")</f>
        <v>服務業</v>
      </c>
      <c r="H9" s="18" t="str">
        <f ca="1">IFERROR(__xludf.DUMMYFUNCTION("""COMPUTED_VALUE"""),"三個月一次")</f>
        <v>三個月一次</v>
      </c>
      <c r="I9" s="18" t="str">
        <f ca="1">IFERROR(__xludf.DUMMYFUNCTION("""COMPUTED_VALUE"""),"大濛、陽光女子合唱團")</f>
        <v>大濛、陽光女子合唱團</v>
      </c>
      <c r="J9" s="18" t="str">
        <f ca="1">IFERROR(__xludf.DUMMYFUNCTION("""COMPUTED_VALUE"""),"超級英雄片（如：Marvel、DC）, 動作片 (如：007、不可能的任務、玩命關頭), 奇幻冒險片（如：哈利波特系列、魔戒）, 浪漫愛情片, 恐怖片")</f>
        <v>超級英雄片（如：Marvel、DC）, 動作片 (如：007、不可能的任務、玩命關頭), 奇幻冒險片（如：哈利波特系列、魔戒）, 浪漫愛情片, 恐怖片</v>
      </c>
      <c r="K9" s="18" t="str">
        <f ca="1">IFERROR(__xludf.DUMMYFUNCTION("""COMPUTED_VALUE"""),"Josie")</f>
        <v>Josie</v>
      </c>
      <c r="L9" s="18"/>
    </row>
    <row r="10" spans="1:12" ht="22.5" customHeight="1" x14ac:dyDescent="0.15">
      <c r="A10" s="17">
        <f ca="1">IFERROR(__xludf.DUMMYFUNCTION("""COMPUTED_VALUE"""),46064.859789537)</f>
        <v>46064.859789536997</v>
      </c>
      <c r="B10" s="18" t="str">
        <f ca="1">IFERROR(__xludf.DUMMYFUNCTION("""COMPUTED_VALUE"""),"王羿涵")</f>
        <v>王羿涵</v>
      </c>
      <c r="C10" s="18" t="str">
        <f ca="1">IFERROR(__xludf.DUMMYFUNCTION("""COMPUTED_VALUE"""),"m14478920@gmail.con")</f>
        <v>m14478920@gmail.con</v>
      </c>
      <c r="D10" s="18"/>
      <c r="E10" s="18" t="str">
        <f ca="1">IFERROR(__xludf.DUMMYFUNCTION("""COMPUTED_VALUE"""),"生理女")</f>
        <v>生理女</v>
      </c>
      <c r="F10" s="18" t="str">
        <f ca="1">IFERROR(__xludf.DUMMYFUNCTION("""COMPUTED_VALUE"""),"26-30")</f>
        <v>26-30</v>
      </c>
      <c r="G10" s="18" t="str">
        <f ca="1">IFERROR(__xludf.DUMMYFUNCTION("""COMPUTED_VALUE"""),"法律")</f>
        <v>法律</v>
      </c>
      <c r="H10" s="18" t="str">
        <f ca="1">IFERROR(__xludf.DUMMYFUNCTION("""COMPUTED_VALUE"""),"三個月一次")</f>
        <v>三個月一次</v>
      </c>
      <c r="I10" s="18" t="str">
        <f ca="1">IFERROR(__xludf.DUMMYFUNCTION("""COMPUTED_VALUE"""),"動物方城市2、鬼滅無限城")</f>
        <v>動物方城市2、鬼滅無限城</v>
      </c>
      <c r="J10" s="18" t="str">
        <f ca="1">IFERROR(__xludf.DUMMYFUNCTION("""COMPUTED_VALUE"""),"超級英雄片（如：Marvel、DC）, 刑偵片, 奇幻冒險片（如：哈利波特系列、魔戒）, 恐怖片, 動漫片")</f>
        <v>超級英雄片（如：Marvel、DC）, 刑偵片, 奇幻冒險片（如：哈利波特系列、魔戒）, 恐怖片, 動漫片</v>
      </c>
      <c r="K10" s="18" t="str">
        <f ca="1">IFERROR(__xludf.DUMMYFUNCTION("""COMPUTED_VALUE"""),"冠婷")</f>
        <v>冠婷</v>
      </c>
      <c r="L10" s="18"/>
    </row>
    <row r="11" spans="1:12" ht="22.5" customHeight="1" x14ac:dyDescent="0.15">
      <c r="A11" s="17">
        <f ca="1">IFERROR(__xludf.DUMMYFUNCTION("""COMPUTED_VALUE"""),46064.9892980324)</f>
        <v>46064.9892980324</v>
      </c>
      <c r="B11" s="18" t="str">
        <f ca="1">IFERROR(__xludf.DUMMYFUNCTION("""COMPUTED_VALUE"""),"許若亮")</f>
        <v>許若亮</v>
      </c>
      <c r="C11" s="18" t="str">
        <f ca="1">IFERROR(__xludf.DUMMYFUNCTION("""COMPUTED_VALUE"""),"lianghsu06@gmail.com")</f>
        <v>lianghsu06@gmail.com</v>
      </c>
      <c r="D11" s="18"/>
      <c r="E11" s="18" t="str">
        <f ca="1">IFERROR(__xludf.DUMMYFUNCTION("""COMPUTED_VALUE"""),"生理女")</f>
        <v>生理女</v>
      </c>
      <c r="F11" s="18" t="str">
        <f ca="1">IFERROR(__xludf.DUMMYFUNCTION("""COMPUTED_VALUE"""),"26-30")</f>
        <v>26-30</v>
      </c>
      <c r="G11" s="18" t="str">
        <f ca="1">IFERROR(__xludf.DUMMYFUNCTION("""COMPUTED_VALUE"""),"金融業")</f>
        <v>金融業</v>
      </c>
      <c r="H11" s="18" t="str">
        <f ca="1">IFERROR(__xludf.DUMMYFUNCTION("""COMPUTED_VALUE"""),"三個月一次")</f>
        <v>三個月一次</v>
      </c>
      <c r="I11" s="18" t="str">
        <f ca="1">IFERROR(__xludf.DUMMYFUNCTION("""COMPUTED_VALUE"""),"陽光女子合唱團/大濛")</f>
        <v>陽光女子合唱團/大濛</v>
      </c>
      <c r="J11" s="18" t="str">
        <f ca="1">IFERROR(__xludf.DUMMYFUNCTION("""COMPUTED_VALUE"""),"超級英雄片（如：Marvel、DC）, 動作片 (如：007、不可能的任務、玩命關頭), 奇幻冒險片（如：哈利波特系列、魔戒）, 浪漫愛情片, 文藝劇情片, 恐怖片, 動漫片, 喜劇片")</f>
        <v>超級英雄片（如：Marvel、DC）, 動作片 (如：007、不可能的任務、玩命關頭), 奇幻冒險片（如：哈利波特系列、魔戒）, 浪漫愛情片, 文藝劇情片, 恐怖片, 動漫片, 喜劇片</v>
      </c>
      <c r="K11" s="18" t="str">
        <f ca="1">IFERROR(__xludf.DUMMYFUNCTION("""COMPUTED_VALUE"""),"josie")</f>
        <v>josie</v>
      </c>
      <c r="L11" s="18" t="str">
        <f ca="1">IFERROR(__xludf.DUMMYFUNCTION("""COMPUTED_VALUE"""),"祝順利！")</f>
        <v>祝順利！</v>
      </c>
    </row>
    <row r="12" spans="1:12" ht="22.5" customHeight="1" x14ac:dyDescent="0.15">
      <c r="A12" s="17">
        <f ca="1">IFERROR(__xludf.DUMMYFUNCTION("""COMPUTED_VALUE"""),46063.8347600462)</f>
        <v>46063.8347600462</v>
      </c>
      <c r="B12" s="18" t="str">
        <f ca="1">IFERROR(__xludf.DUMMYFUNCTION("""COMPUTED_VALUE"""),"陳亮妤")</f>
        <v>陳亮妤</v>
      </c>
      <c r="C12" s="18" t="str">
        <f ca="1">IFERROR(__xludf.DUMMYFUNCTION("""COMPUTED_VALUE"""),"star850415@gmail.com")</f>
        <v>star850415@gmail.com</v>
      </c>
      <c r="D12" s="18" t="str">
        <f ca="1">IFERROR(__xludf.DUMMYFUNCTION("""COMPUTED_VALUE"""),"0928-042-956")</f>
        <v>0928-042-956</v>
      </c>
      <c r="E12" s="18" t="str">
        <f ca="1">IFERROR(__xludf.DUMMYFUNCTION("""COMPUTED_VALUE"""),"生理女")</f>
        <v>生理女</v>
      </c>
      <c r="F12" s="18" t="str">
        <f ca="1">IFERROR(__xludf.DUMMYFUNCTION("""COMPUTED_VALUE"""),"26-30")</f>
        <v>26-30</v>
      </c>
      <c r="G12" s="18" t="str">
        <f ca="1">IFERROR(__xludf.DUMMYFUNCTION("""COMPUTED_VALUE"""),"政府機關 官僚單位/ 餐飲管理系")</f>
        <v>政府機關 官僚單位/ 餐飲管理系</v>
      </c>
      <c r="H12" s="18" t="str">
        <f ca="1">IFERROR(__xludf.DUMMYFUNCTION("""COMPUTED_VALUE"""),"半年一次")</f>
        <v>半年一次</v>
      </c>
      <c r="I12" s="18" t="str">
        <f ca="1">IFERROR(__xludf.DUMMYFUNCTION("""COMPUTED_VALUE"""),"失明")</f>
        <v>失明</v>
      </c>
      <c r="J12" s="18" t="str">
        <f ca="1">IFERROR(__xludf.DUMMYFUNCTION("""COMPUTED_VALUE"""),"超級英雄片（如：Marvel、DC）, 動作片 (如：007、不可能的任務、玩命關頭), 奇幻冒險片（如：哈利波特系列、魔戒）, 動漫片, 喜劇片, 柯南、迪士尼")</f>
        <v>超級英雄片（如：Marvel、DC）, 動作片 (如：007、不可能的任務、玩命關頭), 奇幻冒險片（如：哈利波特系列、魔戒）, 動漫片, 喜劇片, 柯南、迪士尼</v>
      </c>
      <c r="K12" s="18" t="str">
        <f ca="1">IFERROR(__xludf.DUMMYFUNCTION("""COMPUTED_VALUE"""),"穆")</f>
        <v>穆</v>
      </c>
      <c r="L12" s="18" t="str">
        <f ca="1">IFERROR(__xludf.DUMMYFUNCTION("""COMPUTED_VALUE"""),"謝謝 辛苦了  : )")</f>
        <v>謝謝 辛苦了  : )</v>
      </c>
    </row>
    <row r="13" spans="1:12" ht="22.5" customHeight="1" x14ac:dyDescent="0.15">
      <c r="A13" s="17">
        <f ca="1">IFERROR(__xludf.DUMMYFUNCTION("""COMPUTED_VALUE"""),46063.7870950231)</f>
        <v>46063.787095023101</v>
      </c>
      <c r="B13" s="18" t="str">
        <f ca="1">IFERROR(__xludf.DUMMYFUNCTION("""COMPUTED_VALUE"""),"李艷娟")</f>
        <v>李艷娟</v>
      </c>
      <c r="C13" s="18" t="str">
        <f ca="1">IFERROR(__xludf.DUMMYFUNCTION("""COMPUTED_VALUE"""),"vanessa90326@gmail.com")</f>
        <v>vanessa90326@gmail.com</v>
      </c>
      <c r="D13" s="18"/>
      <c r="E13" s="18" t="str">
        <f ca="1">IFERROR(__xludf.DUMMYFUNCTION("""COMPUTED_VALUE"""),"生理女")</f>
        <v>生理女</v>
      </c>
      <c r="F13" s="18" t="str">
        <f ca="1">IFERROR(__xludf.DUMMYFUNCTION("""COMPUTED_VALUE"""),"26-30")</f>
        <v>26-30</v>
      </c>
      <c r="G13" s="18" t="str">
        <f ca="1">IFERROR(__xludf.DUMMYFUNCTION("""COMPUTED_VALUE"""),"學術研究")</f>
        <v>學術研究</v>
      </c>
      <c r="H13" s="18" t="str">
        <f ca="1">IFERROR(__xludf.DUMMYFUNCTION("""COMPUTED_VALUE"""),"三個月一次")</f>
        <v>三個月一次</v>
      </c>
      <c r="I13" s="18" t="str">
        <f ca="1">IFERROR(__xludf.DUMMYFUNCTION("""COMPUTED_VALUE"""),"動物方城市2、不可能的任務最終清算")</f>
        <v>動物方城市2、不可能的任務最終清算</v>
      </c>
      <c r="J13" s="18" t="str">
        <f ca="1">IFERROR(__xludf.DUMMYFUNCTION("""COMPUTED_VALUE"""),"超級英雄片（如：Marvel、DC）, 動作片 (如：007、不可能的任務、玩命關頭), 奇幻冒險片（如：哈利波特系列、魔戒）, 浪漫愛情片, 喜劇片")</f>
        <v>超級英雄片（如：Marvel、DC）, 動作片 (如：007、不可能的任務、玩命關頭), 奇幻冒險片（如：哈利波特系列、魔戒）, 浪漫愛情片, 喜劇片</v>
      </c>
      <c r="K13" s="18" t="str">
        <f ca="1">IFERROR(__xludf.DUMMYFUNCTION("""COMPUTED_VALUE"""),"王冠婷！")</f>
        <v>王冠婷！</v>
      </c>
      <c r="L13" s="18"/>
    </row>
    <row r="14" spans="1:12" ht="22.5" customHeight="1" x14ac:dyDescent="0.15">
      <c r="A14" s="17">
        <f ca="1">IFERROR(__xludf.DUMMYFUNCTION("""COMPUTED_VALUE"""),46063.8104276967)</f>
        <v>46063.810427696699</v>
      </c>
      <c r="B14" s="18" t="str">
        <f ca="1">IFERROR(__xludf.DUMMYFUNCTION("""COMPUTED_VALUE"""),"黃詩芸")</f>
        <v>黃詩芸</v>
      </c>
      <c r="C14" s="18" t="str">
        <f ca="1">IFERROR(__xludf.DUMMYFUNCTION("""COMPUTED_VALUE"""),"peko50214054@gmail.com ")</f>
        <v xml:space="preserve">peko50214054@gmail.com </v>
      </c>
      <c r="D14" s="18"/>
      <c r="E14" s="18" t="str">
        <f ca="1">IFERROR(__xludf.DUMMYFUNCTION("""COMPUTED_VALUE"""),"生理女")</f>
        <v>生理女</v>
      </c>
      <c r="F14" s="18" t="str">
        <f ca="1">IFERROR(__xludf.DUMMYFUNCTION("""COMPUTED_VALUE"""),"26-30")</f>
        <v>26-30</v>
      </c>
      <c r="G14" s="18" t="str">
        <f ca="1">IFERROR(__xludf.DUMMYFUNCTION("""COMPUTED_VALUE"""),"餐飲")</f>
        <v>餐飲</v>
      </c>
      <c r="H14" s="18" t="str">
        <f ca="1">IFERROR(__xludf.DUMMYFUNCTION("""COMPUTED_VALUE"""),"三個月一次")</f>
        <v>三個月一次</v>
      </c>
      <c r="I14" s="18" t="str">
        <f ca="1">IFERROR(__xludf.DUMMYFUNCTION("""COMPUTED_VALUE"""),"鬼滅之刃")</f>
        <v>鬼滅之刃</v>
      </c>
      <c r="J14" s="18" t="str">
        <f ca="1">IFERROR(__xludf.DUMMYFUNCTION("""COMPUTED_VALUE"""),"超級英雄片（如：Marvel、DC）, 動作片 (如：007、不可能的任務、玩命關頭), 刑偵片, 奇幻冒險片（如：哈利波特系列、魔戒）, 動漫片")</f>
        <v>超級英雄片（如：Marvel、DC）, 動作片 (如：007、不可能的任務、玩命關頭), 刑偵片, 奇幻冒險片（如：哈利波特系列、魔戒）, 動漫片</v>
      </c>
      <c r="K14" s="18" t="str">
        <f ca="1">IFERROR(__xludf.DUMMYFUNCTION("""COMPUTED_VALUE"""),"穆")</f>
        <v>穆</v>
      </c>
      <c r="L14" s="18"/>
    </row>
    <row r="15" spans="1:12" ht="22.5" customHeight="1" x14ac:dyDescent="0.15">
      <c r="A15" s="17">
        <f ca="1">IFERROR(__xludf.DUMMYFUNCTION("""COMPUTED_VALUE"""),46062.9751382175)</f>
        <v>46062.975138217502</v>
      </c>
      <c r="B15" s="18" t="str">
        <f ca="1">IFERROR(__xludf.DUMMYFUNCTION("""COMPUTED_VALUE"""),"原詩涵")</f>
        <v>原詩涵</v>
      </c>
      <c r="C15" s="18" t="str">
        <f ca="1">IFERROR(__xludf.DUMMYFUNCTION("""COMPUTED_VALUE"""),"lenyuan8256@gmail.com")</f>
        <v>lenyuan8256@gmail.com</v>
      </c>
      <c r="D15" s="18"/>
      <c r="E15" s="18" t="str">
        <f ca="1">IFERROR(__xludf.DUMMYFUNCTION("""COMPUTED_VALUE"""),"生理女")</f>
        <v>生理女</v>
      </c>
      <c r="F15" s="18" t="str">
        <f ca="1">IFERROR(__xludf.DUMMYFUNCTION("""COMPUTED_VALUE"""),"31-35")</f>
        <v>31-35</v>
      </c>
      <c r="G15" s="18" t="str">
        <f ca="1">IFERROR(__xludf.DUMMYFUNCTION("""COMPUTED_VALUE"""),"內容製課")</f>
        <v>內容製課</v>
      </c>
      <c r="H15" s="18" t="str">
        <f ca="1">IFERROR(__xludf.DUMMYFUNCTION("""COMPUTED_VALUE"""),"一個月一次")</f>
        <v>一個月一次</v>
      </c>
      <c r="I15" s="18" t="str">
        <f ca="1">IFERROR(__xludf.DUMMYFUNCTION("""COMPUTED_VALUE"""),"大濛")</f>
        <v>大濛</v>
      </c>
      <c r="J15" s="18" t="str">
        <f ca="1">IFERROR(__xludf.DUMMYFUNCTION("""COMPUTED_VALUE"""),"科幻片, 文藝劇情片, 恐怖片")</f>
        <v>科幻片, 文藝劇情片, 恐怖片</v>
      </c>
      <c r="K15" s="18" t="str">
        <f ca="1">IFERROR(__xludf.DUMMYFUNCTION("""COMPUTED_VALUE"""),"佩雯")</f>
        <v>佩雯</v>
      </c>
      <c r="L15" s="18"/>
    </row>
    <row r="16" spans="1:12" ht="22.5" customHeight="1" x14ac:dyDescent="0.15">
      <c r="A16" s="17">
        <f ca="1">IFERROR(__xludf.DUMMYFUNCTION("""COMPUTED_VALUE"""),46062.7251214583)</f>
        <v>46062.725121458301</v>
      </c>
      <c r="B16" s="18" t="str">
        <f ca="1">IFERROR(__xludf.DUMMYFUNCTION("""COMPUTED_VALUE"""),"謝佩珊")</f>
        <v>謝佩珊</v>
      </c>
      <c r="C16" s="18" t="str">
        <f ca="1">IFERROR(__xludf.DUMMYFUNCTION("""COMPUTED_VALUE"""),"sally@mixxin.tw")</f>
        <v>sally@mixxin.tw</v>
      </c>
      <c r="D16" s="18" t="str">
        <f ca="1">IFERROR(__xludf.DUMMYFUNCTION("""COMPUTED_VALUE"""),"0952082735")</f>
        <v>0952082735</v>
      </c>
      <c r="E16" s="18" t="str">
        <f ca="1">IFERROR(__xludf.DUMMYFUNCTION("""COMPUTED_VALUE"""),"生理女")</f>
        <v>生理女</v>
      </c>
      <c r="F16" s="18" t="str">
        <f ca="1">IFERROR(__xludf.DUMMYFUNCTION("""COMPUTED_VALUE"""),"31-35")</f>
        <v>31-35</v>
      </c>
      <c r="G16" s="18" t="str">
        <f ca="1">IFERROR(__xludf.DUMMYFUNCTION("""COMPUTED_VALUE"""),"行銷")</f>
        <v>行銷</v>
      </c>
      <c r="H16" s="18" t="str">
        <f ca="1">IFERROR(__xludf.DUMMYFUNCTION("""COMPUTED_VALUE"""),"一個月一次")</f>
        <v>一個月一次</v>
      </c>
      <c r="I16" s="18" t="str">
        <f ca="1">IFERROR(__xludf.DUMMYFUNCTION("""COMPUTED_VALUE"""),"雙囍/動物方程式/他年她日/")</f>
        <v>雙囍/動物方程式/他年她日/</v>
      </c>
      <c r="J16" s="18" t="str">
        <f ca="1">IFERROR(__xludf.DUMMYFUNCTION("""COMPUTED_VALUE"""),"超級英雄片（如：Marvel、DC）, 動作片 (如：007、不可能的任務、玩命關頭), 奇幻冒險片（如：哈利波特系列、魔戒）")</f>
        <v>超級英雄片（如：Marvel、DC）, 動作片 (如：007、不可能的任務、玩命關頭), 奇幻冒險片（如：哈利波特系列、魔戒）</v>
      </c>
      <c r="K16" s="18" t="str">
        <f ca="1">IFERROR(__xludf.DUMMYFUNCTION("""COMPUTED_VALUE"""),"謝佩雯")</f>
        <v>謝佩雯</v>
      </c>
      <c r="L16" s="18"/>
    </row>
    <row r="17" spans="1:12" ht="22.5" customHeight="1" x14ac:dyDescent="0.15">
      <c r="A17" s="17">
        <f ca="1">IFERROR(__xludf.DUMMYFUNCTION("""COMPUTED_VALUE"""),46063.5350130092)</f>
        <v>46063.535013009197</v>
      </c>
      <c r="B17" s="18" t="str">
        <f ca="1">IFERROR(__xludf.DUMMYFUNCTION("""COMPUTED_VALUE"""),"吳香穎")</f>
        <v>吳香穎</v>
      </c>
      <c r="C17" s="18" t="str">
        <f ca="1">IFERROR(__xludf.DUMMYFUNCTION("""COMPUTED_VALUE"""),"lindy.wu@starfabx.com")</f>
        <v>lindy.wu@starfabx.com</v>
      </c>
      <c r="D17" s="18" t="str">
        <f ca="1">IFERROR(__xludf.DUMMYFUNCTION("""COMPUTED_VALUE"""),"0982-512-582")</f>
        <v>0982-512-582</v>
      </c>
      <c r="E17" s="18" t="str">
        <f ca="1">IFERROR(__xludf.DUMMYFUNCTION("""COMPUTED_VALUE"""),"生理女")</f>
        <v>生理女</v>
      </c>
      <c r="F17" s="18" t="str">
        <f ca="1">IFERROR(__xludf.DUMMYFUNCTION("""COMPUTED_VALUE"""),"31-35")</f>
        <v>31-35</v>
      </c>
      <c r="G17" s="18" t="str">
        <f ca="1">IFERROR(__xludf.DUMMYFUNCTION("""COMPUTED_VALUE"""),"科技新創")</f>
        <v>科技新創</v>
      </c>
      <c r="H17" s="18" t="str">
        <f ca="1">IFERROR(__xludf.DUMMYFUNCTION("""COMPUTED_VALUE"""),"一個月一次")</f>
        <v>一個月一次</v>
      </c>
      <c r="I17" s="18" t="str">
        <f ca="1">IFERROR(__xludf.DUMMYFUNCTION("""COMPUTED_VALUE"""),"大濛、國寶、換乘真愛、東京計程車、Marty Supreme")</f>
        <v>大濛、國寶、換乘真愛、東京計程車、Marty Supreme</v>
      </c>
      <c r="J17" s="18" t="str">
        <f ca="1">IFERROR(__xludf.DUMMYFUNCTION("""COMPUTED_VALUE"""),"超級英雄片（如：Marvel、DC）, 動作片 (如：007、不可能的任務、玩命關頭), 科幻片, 奇幻冒險片（如：哈利波特系列、魔戒）, 浪漫愛情片, 文藝劇情片, 喜劇片")</f>
        <v>超級英雄片（如：Marvel、DC）, 動作片 (如：007、不可能的任務、玩命關頭), 科幻片, 奇幻冒險片（如：哈利波特系列、魔戒）, 浪漫愛情片, 文藝劇情片, 喜劇片</v>
      </c>
      <c r="K17" s="18" t="str">
        <f ca="1">IFERROR(__xludf.DUMMYFUNCTION("""COMPUTED_VALUE"""),"Ema")</f>
        <v>Ema</v>
      </c>
      <c r="L17" s="18"/>
    </row>
    <row r="18" spans="1:12" ht="22.5" customHeight="1" x14ac:dyDescent="0.15">
      <c r="A18" s="17">
        <f ca="1">IFERROR(__xludf.DUMMYFUNCTION("""COMPUTED_VALUE"""),46065.5240641319)</f>
        <v>46065.524064131903</v>
      </c>
      <c r="B18" s="18" t="str">
        <f ca="1">IFERROR(__xludf.DUMMYFUNCTION("""COMPUTED_VALUE"""),"李莉穎")</f>
        <v>李莉穎</v>
      </c>
      <c r="C18" s="18" t="str">
        <f ca="1">IFERROR(__xludf.DUMMYFUNCTION("""COMPUTED_VALUE"""),"jpm9995432@yahoo.com.tw")</f>
        <v>jpm9995432@yahoo.com.tw</v>
      </c>
      <c r="D18" s="18" t="str">
        <f ca="1">IFERROR(__xludf.DUMMYFUNCTION("""COMPUTED_VALUE"""),"0953457557")</f>
        <v>0953457557</v>
      </c>
      <c r="E18" s="18" t="str">
        <f ca="1">IFERROR(__xludf.DUMMYFUNCTION("""COMPUTED_VALUE"""),"生理女")</f>
        <v>生理女</v>
      </c>
      <c r="F18" s="18" t="str">
        <f ca="1">IFERROR(__xludf.DUMMYFUNCTION("""COMPUTED_VALUE"""),"31-35")</f>
        <v>31-35</v>
      </c>
      <c r="G18" s="18" t="str">
        <f ca="1">IFERROR(__xludf.DUMMYFUNCTION("""COMPUTED_VALUE"""),"教育行政")</f>
        <v>教育行政</v>
      </c>
      <c r="H18" s="18" t="str">
        <f ca="1">IFERROR(__xludf.DUMMYFUNCTION("""COMPUTED_VALUE"""),"三個月一次")</f>
        <v>三個月一次</v>
      </c>
      <c r="I18" s="18" t="str">
        <f ca="1">IFERROR(__xludf.DUMMYFUNCTION("""COMPUTED_VALUE"""),"鬼滅之刃")</f>
        <v>鬼滅之刃</v>
      </c>
      <c r="J18" s="18" t="str">
        <f ca="1">IFERROR(__xludf.DUMMYFUNCTION("""COMPUTED_VALUE"""),"超級英雄片（如：Marvel、DC）, 動作片 (如：007、不可能的任務、玩命關頭), 動漫片, 喜劇片")</f>
        <v>超級英雄片（如：Marvel、DC）, 動作片 (如：007、不可能的任務、玩命關頭), 動漫片, 喜劇片</v>
      </c>
      <c r="K18" s="18" t="str">
        <f ca="1">IFERROR(__xludf.DUMMYFUNCTION("""COMPUTED_VALUE"""),"穆可榛")</f>
        <v>穆可榛</v>
      </c>
      <c r="L18" s="18" t="str">
        <f ca="1">IFERROR(__xludf.DUMMYFUNCTION("""COMPUTED_VALUE"""),"謝謝邀請")</f>
        <v>謝謝邀請</v>
      </c>
    </row>
    <row r="19" spans="1:12" ht="22.5" customHeight="1" x14ac:dyDescent="0.15">
      <c r="A19" s="17">
        <f ca="1">IFERROR(__xludf.DUMMYFUNCTION("""COMPUTED_VALUE"""),46062.9392381944)</f>
        <v>46062.939238194398</v>
      </c>
      <c r="B19" s="18" t="str">
        <f ca="1">IFERROR(__xludf.DUMMYFUNCTION("""COMPUTED_VALUE"""),"陳婷")</f>
        <v>陳婷</v>
      </c>
      <c r="C19" s="18" t="str">
        <f ca="1">IFERROR(__xludf.DUMMYFUNCTION("""COMPUTED_VALUE"""),"tina818202006@gmail.com")</f>
        <v>tina818202006@gmail.com</v>
      </c>
      <c r="D19" s="18"/>
      <c r="E19" s="18" t="str">
        <f ca="1">IFERROR(__xludf.DUMMYFUNCTION("""COMPUTED_VALUE"""),"生理女")</f>
        <v>生理女</v>
      </c>
      <c r="F19" s="18" t="str">
        <f ca="1">IFERROR(__xludf.DUMMYFUNCTION("""COMPUTED_VALUE"""),"31-35")</f>
        <v>31-35</v>
      </c>
      <c r="G19" s="18" t="str">
        <f ca="1">IFERROR(__xludf.DUMMYFUNCTION("""COMPUTED_VALUE"""),"醫事")</f>
        <v>醫事</v>
      </c>
      <c r="H19" s="18" t="str">
        <f ca="1">IFERROR(__xludf.DUMMYFUNCTION("""COMPUTED_VALUE"""),"三個月一次")</f>
        <v>三個月一次</v>
      </c>
      <c r="I19" s="18" t="str">
        <f ca="1">IFERROR(__xludf.DUMMYFUNCTION("""COMPUTED_VALUE"""),"動物方程市")</f>
        <v>動物方程市</v>
      </c>
      <c r="J19" s="18" t="str">
        <f ca="1">IFERROR(__xludf.DUMMYFUNCTION("""COMPUTED_VALUE"""),"超級英雄片（如：Marvel、DC）, 科幻片, 奇幻冒險片（如：哈利波特系列、魔戒）, 恐怖片, 動漫片")</f>
        <v>超級英雄片（如：Marvel、DC）, 科幻片, 奇幻冒險片（如：哈利波特系列、魔戒）, 恐怖片, 動漫片</v>
      </c>
      <c r="K19" s="18" t="str">
        <f ca="1">IFERROR(__xludf.DUMMYFUNCTION("""COMPUTED_VALUE"""),"可蓁")</f>
        <v>可蓁</v>
      </c>
      <c r="L19" s="18"/>
    </row>
    <row r="20" spans="1:12" ht="22.5" customHeight="1" x14ac:dyDescent="0.15">
      <c r="A20" s="17">
        <f ca="1">IFERROR(__xludf.DUMMYFUNCTION("""COMPUTED_VALUE"""),46064.8787125463)</f>
        <v>46064.878712546299</v>
      </c>
      <c r="B20" s="18" t="str">
        <f ca="1">IFERROR(__xludf.DUMMYFUNCTION("""COMPUTED_VALUE"""),"Annie")</f>
        <v>Annie</v>
      </c>
      <c r="C20" s="18" t="str">
        <f ca="1">IFERROR(__xludf.DUMMYFUNCTION("""COMPUTED_VALUE"""),"anniechou.m@gmail.com")</f>
        <v>anniechou.m@gmail.com</v>
      </c>
      <c r="D20" s="18"/>
      <c r="E20" s="18" t="str">
        <f ca="1">IFERROR(__xludf.DUMMYFUNCTION("""COMPUTED_VALUE"""),"生理女")</f>
        <v>生理女</v>
      </c>
      <c r="F20" s="18" t="str">
        <f ca="1">IFERROR(__xludf.DUMMYFUNCTION("""COMPUTED_VALUE"""),"36-40")</f>
        <v>36-40</v>
      </c>
      <c r="G20" s="18" t="str">
        <f ca="1">IFERROR(__xludf.DUMMYFUNCTION("""COMPUTED_VALUE"""),"美業")</f>
        <v>美業</v>
      </c>
      <c r="H20" s="18" t="str">
        <f ca="1">IFERROR(__xludf.DUMMYFUNCTION("""COMPUTED_VALUE"""),"半年一次")</f>
        <v>半年一次</v>
      </c>
      <c r="I20" s="18" t="str">
        <f ca="1">IFERROR(__xludf.DUMMYFUNCTION("""COMPUTED_VALUE"""),"鬼滅之刃")</f>
        <v>鬼滅之刃</v>
      </c>
      <c r="J20" s="18" t="str">
        <f ca="1">IFERROR(__xludf.DUMMYFUNCTION("""COMPUTED_VALUE"""),"超級英雄片（如：Marvel、DC）, 動作片 (如：007、不可能的任務、玩命關頭)")</f>
        <v>超級英雄片（如：Marvel、DC）, 動作片 (如：007、不可能的任務、玩命關頭)</v>
      </c>
      <c r="K20" s="18" t="str">
        <f ca="1">IFERROR(__xludf.DUMMYFUNCTION("""COMPUTED_VALUE"""),"Josie")</f>
        <v>Josie</v>
      </c>
      <c r="L20" s="18"/>
    </row>
    <row r="21" spans="1:12" ht="22.5" customHeight="1" x14ac:dyDescent="0.15">
      <c r="A21" s="17">
        <f ca="1">IFERROR(__xludf.DUMMYFUNCTION("""COMPUTED_VALUE"""),46064.5927870601)</f>
        <v>46064.592787060101</v>
      </c>
      <c r="B21" s="18" t="str">
        <f ca="1">IFERROR(__xludf.DUMMYFUNCTION("""COMPUTED_VALUE"""),"謝麗菁")</f>
        <v>謝麗菁</v>
      </c>
      <c r="C21" s="18" t="str">
        <f ca="1">IFERROR(__xludf.DUMMYFUNCTION("""COMPUTED_VALUE"""),"kimhsieh312@gmail.com")</f>
        <v>kimhsieh312@gmail.com</v>
      </c>
      <c r="D21" s="18"/>
      <c r="E21" s="18" t="str">
        <f ca="1">IFERROR(__xludf.DUMMYFUNCTION("""COMPUTED_VALUE"""),"生理女")</f>
        <v>生理女</v>
      </c>
      <c r="F21" s="18" t="str">
        <f ca="1">IFERROR(__xludf.DUMMYFUNCTION("""COMPUTED_VALUE"""),"41-45")</f>
        <v>41-45</v>
      </c>
      <c r="G21" s="18" t="str">
        <f ca="1">IFERROR(__xludf.DUMMYFUNCTION("""COMPUTED_VALUE"""),"自由接案/打工（娛樂/餐廳）")</f>
        <v>自由接案/打工（娛樂/餐廳）</v>
      </c>
      <c r="H21" s="18" t="str">
        <f ca="1">IFERROR(__xludf.DUMMYFUNCTION("""COMPUTED_VALUE"""),"半年一次")</f>
        <v>半年一次</v>
      </c>
      <c r="I21" s="18" t="str">
        <f ca="1">IFERROR(__xludf.DUMMYFUNCTION("""COMPUTED_VALUE"""),"女孩")</f>
        <v>女孩</v>
      </c>
      <c r="J21" s="18" t="str">
        <f ca="1">IFERROR(__xludf.DUMMYFUNCTION("""COMPUTED_VALUE"""),"超級英雄片（如：Marvel、DC）, 動作片 (如：007、不可能的任務、玩命關頭), 刑偵片, 奇幻冒險片（如：哈利波特系列、魔戒）, 浪漫愛情片, 文藝劇情片, 動漫片, 喜劇片")</f>
        <v>超級英雄片（如：Marvel、DC）, 動作片 (如：007、不可能的任務、玩命關頭), 刑偵片, 奇幻冒險片（如：哈利波特系列、魔戒）, 浪漫愛情片, 文藝劇情片, 動漫片, 喜劇片</v>
      </c>
      <c r="K21" s="18" t="str">
        <f ca="1">IFERROR(__xludf.DUMMYFUNCTION("""COMPUTED_VALUE"""),"Josie")</f>
        <v>Josie</v>
      </c>
      <c r="L21" s="18" t="str">
        <f ca="1">IFERROR(__xludf.DUMMYFUNCTION("""COMPUTED_VALUE"""),"最近這幾年比較少進電影院（懶）")</f>
        <v>最近這幾年比較少進電影院（懶）</v>
      </c>
    </row>
    <row r="22" spans="1:12" ht="22.5" customHeight="1" x14ac:dyDescent="0.15">
      <c r="A22" s="17">
        <f ca="1">IFERROR(__xludf.DUMMYFUNCTION("""COMPUTED_VALUE"""),46064.6756281597)</f>
        <v>46064.675628159697</v>
      </c>
      <c r="B22" s="18" t="str">
        <f ca="1">IFERROR(__xludf.DUMMYFUNCTION("""COMPUTED_VALUE"""),"吳幼雯")</f>
        <v>吳幼雯</v>
      </c>
      <c r="C22" s="18" t="str">
        <f ca="1">IFERROR(__xludf.DUMMYFUNCTION("""COMPUTED_VALUE"""),"seedleather@gmail.com")</f>
        <v>seedleather@gmail.com</v>
      </c>
      <c r="D22" s="18"/>
      <c r="E22" s="18" t="str">
        <f ca="1">IFERROR(__xludf.DUMMYFUNCTION("""COMPUTED_VALUE"""),"生理女")</f>
        <v>生理女</v>
      </c>
      <c r="F22" s="18" t="str">
        <f ca="1">IFERROR(__xludf.DUMMYFUNCTION("""COMPUTED_VALUE"""),"46-50")</f>
        <v>46-50</v>
      </c>
      <c r="G22" s="18" t="str">
        <f ca="1">IFERROR(__xludf.DUMMYFUNCTION("""COMPUTED_VALUE"""),"設計創作")</f>
        <v>設計創作</v>
      </c>
      <c r="H22" s="18" t="str">
        <f ca="1">IFERROR(__xludf.DUMMYFUNCTION("""COMPUTED_VALUE"""),"一個月一次")</f>
        <v>一個月一次</v>
      </c>
      <c r="I22" s="18" t="str">
        <f ca="1">IFERROR(__xludf.DUMMYFUNCTION("""COMPUTED_VALUE"""),"重返沉默之丘")</f>
        <v>重返沉默之丘</v>
      </c>
      <c r="J22" s="18" t="str">
        <f ca="1">IFERROR(__xludf.DUMMYFUNCTION("""COMPUTED_VALUE"""),"動作片 (如：007、不可能的任務、玩命關頭), 奇幻冒險片（如：哈利波特系列、魔戒）, 恐怖片, 動漫片, 紀錄片")</f>
        <v>動作片 (如：007、不可能的任務、玩命關頭), 奇幻冒險片（如：哈利波特系列、魔戒）, 恐怖片, 動漫片, 紀錄片</v>
      </c>
      <c r="K22" s="18" t="str">
        <f ca="1">IFERROR(__xludf.DUMMYFUNCTION("""COMPUTED_VALUE"""),"Josie")</f>
        <v>Josie</v>
      </c>
      <c r="L22" s="18"/>
    </row>
    <row r="23" spans="1:12" ht="22.5" customHeight="1" x14ac:dyDescent="0.15">
      <c r="A23" s="17">
        <f ca="1">IFERROR(__xludf.DUMMYFUNCTION("""COMPUTED_VALUE"""),46064.5861343518)</f>
        <v>46064.586134351797</v>
      </c>
      <c r="B23" s="18" t="str">
        <f ca="1">IFERROR(__xludf.DUMMYFUNCTION("""COMPUTED_VALUE"""),"蔡宜真")</f>
        <v>蔡宜真</v>
      </c>
      <c r="C23" s="18" t="str">
        <f ca="1">IFERROR(__xludf.DUMMYFUNCTION("""COMPUTED_VALUE"""),"atom6322@gmail.com")</f>
        <v>atom6322@gmail.com</v>
      </c>
      <c r="D23" s="18"/>
      <c r="E23" s="18" t="str">
        <f ca="1">IFERROR(__xludf.DUMMYFUNCTION("""COMPUTED_VALUE"""),"生理女")</f>
        <v>生理女</v>
      </c>
      <c r="F23" s="18" t="str">
        <f ca="1">IFERROR(__xludf.DUMMYFUNCTION("""COMPUTED_VALUE"""),"46-50")</f>
        <v>46-50</v>
      </c>
      <c r="G23" s="18" t="str">
        <f ca="1">IFERROR(__xludf.DUMMYFUNCTION("""COMPUTED_VALUE"""),"餐飲業")</f>
        <v>餐飲業</v>
      </c>
      <c r="H23" s="18" t="str">
        <f ca="1">IFERROR(__xludf.DUMMYFUNCTION("""COMPUTED_VALUE"""),"一個月一次")</f>
        <v>一個月一次</v>
      </c>
      <c r="I23" s="18" t="str">
        <f ca="1">IFERROR(__xludf.DUMMYFUNCTION("""COMPUTED_VALUE"""),"大濛/陽光女子合唱團/家弒服務")</f>
        <v>大濛/陽光女子合唱團/家弒服務</v>
      </c>
      <c r="J23" s="18" t="str">
        <f ca="1">IFERROR(__xludf.DUMMYFUNCTION("""COMPUTED_VALUE"""),"動作片 (如：007、不可能的任務、玩命關頭), 刑偵片, 科幻片, 奇幻冒險片（如：哈利波特系列、魔戒）, 文藝劇情片, 喜劇片")</f>
        <v>動作片 (如：007、不可能的任務、玩命關頭), 刑偵片, 科幻片, 奇幻冒險片（如：哈利波特系列、魔戒）, 文藝劇情片, 喜劇片</v>
      </c>
      <c r="K23" s="18" t="str">
        <f ca="1">IFERROR(__xludf.DUMMYFUNCTION("""COMPUTED_VALUE"""),"Josie")</f>
        <v>Josie</v>
      </c>
      <c r="L23" s="18"/>
    </row>
    <row r="24" spans="1:12" ht="22.5" customHeight="1" x14ac:dyDescent="0.15">
      <c r="A24" s="17">
        <f ca="1">IFERROR(__xludf.DUMMYFUNCTION("""COMPUTED_VALUE"""),46062.7644117476)</f>
        <v>46062.764411747601</v>
      </c>
      <c r="B24" s="18" t="str">
        <f ca="1">IFERROR(__xludf.DUMMYFUNCTION("""COMPUTED_VALUE"""),"戴潔明")</f>
        <v>戴潔明</v>
      </c>
      <c r="C24" s="18" t="str">
        <f ca="1">IFERROR(__xludf.DUMMYFUNCTION("""COMPUTED_VALUE"""),"jeremyday0828@gmail.com")</f>
        <v>jeremyday0828@gmail.com</v>
      </c>
      <c r="D24" s="18" t="str">
        <f ca="1">IFERROR(__xludf.DUMMYFUNCTION("""COMPUTED_VALUE"""),"0987915736")</f>
        <v>0987915736</v>
      </c>
      <c r="E24" s="18" t="str">
        <f ca="1">IFERROR(__xludf.DUMMYFUNCTION("""COMPUTED_VALUE"""),"生理男")</f>
        <v>生理男</v>
      </c>
      <c r="F24" s="18" t="str">
        <f ca="1">IFERROR(__xludf.DUMMYFUNCTION("""COMPUTED_VALUE"""),"21-25")</f>
        <v>21-25</v>
      </c>
      <c r="G24" s="18" t="str">
        <f ca="1">IFERROR(__xludf.DUMMYFUNCTION("""COMPUTED_VALUE"""),"土木")</f>
        <v>土木</v>
      </c>
      <c r="H24" s="18" t="str">
        <f ca="1">IFERROR(__xludf.DUMMYFUNCTION("""COMPUTED_VALUE"""),"半年一次")</f>
        <v>半年一次</v>
      </c>
      <c r="I24" s="18">
        <f ca="1">IFERROR(__xludf.DUMMYFUNCTION("""COMPUTED_VALUE"""),0)</f>
        <v>0</v>
      </c>
      <c r="J24" s="18" t="str">
        <f ca="1">IFERROR(__xludf.DUMMYFUNCTION("""COMPUTED_VALUE"""),"超級英雄片（如：Marvel、DC）, 動作片 (如：007、不可能的任務、玩命關頭), 刑偵片, 科幻片, 奇幻冒險片（如：哈利波特系列、魔戒）, 浪漫愛情片, 恐怖片, 動漫片, 喜劇片")</f>
        <v>超級英雄片（如：Marvel、DC）, 動作片 (如：007、不可能的任務、玩命關頭), 刑偵片, 科幻片, 奇幻冒險片（如：哈利波特系列、魔戒）, 浪漫愛情片, 恐怖片, 動漫片, 喜劇片</v>
      </c>
      <c r="K24" s="18" t="str">
        <f ca="1">IFERROR(__xludf.DUMMYFUNCTION("""COMPUTED_VALUE"""),"章睿棻")</f>
        <v>章睿棻</v>
      </c>
      <c r="L24" s="18"/>
    </row>
    <row r="25" spans="1:12" ht="22.5" customHeight="1" x14ac:dyDescent="0.15">
      <c r="A25" s="17">
        <f ca="1">IFERROR(__xludf.DUMMYFUNCTION("""COMPUTED_VALUE"""),46062.938906875)</f>
        <v>46062.938906875002</v>
      </c>
      <c r="B25" s="18" t="str">
        <f ca="1">IFERROR(__xludf.DUMMYFUNCTION("""COMPUTED_VALUE"""),"謝昂諭")</f>
        <v>謝昂諭</v>
      </c>
      <c r="C25" s="18" t="str">
        <f ca="1">IFERROR(__xludf.DUMMYFUNCTION("""COMPUTED_VALUE"""),"qq900515@gmail.com")</f>
        <v>qq900515@gmail.com</v>
      </c>
      <c r="D25" s="18" t="str">
        <f ca="1">IFERROR(__xludf.DUMMYFUNCTION("""COMPUTED_VALUE"""),"0970963418")</f>
        <v>0970963418</v>
      </c>
      <c r="E25" s="18" t="str">
        <f ca="1">IFERROR(__xludf.DUMMYFUNCTION("""COMPUTED_VALUE"""),"生理男")</f>
        <v>生理男</v>
      </c>
      <c r="F25" s="18" t="str">
        <f ca="1">IFERROR(__xludf.DUMMYFUNCTION("""COMPUTED_VALUE"""),"21-25")</f>
        <v>21-25</v>
      </c>
      <c r="G25" s="18" t="str">
        <f ca="1">IFERROR(__xludf.DUMMYFUNCTION("""COMPUTED_VALUE"""),"工程業")</f>
        <v>工程業</v>
      </c>
      <c r="H25" s="18" t="str">
        <f ca="1">IFERROR(__xludf.DUMMYFUNCTION("""COMPUTED_VALUE"""),"三個月一次")</f>
        <v>三個月一次</v>
      </c>
      <c r="I25" s="18" t="str">
        <f ca="1">IFERROR(__xludf.DUMMYFUNCTION("""COMPUTED_VALUE"""),"天眼")</f>
        <v>天眼</v>
      </c>
      <c r="J25" s="18" t="str">
        <f ca="1">IFERROR(__xludf.DUMMYFUNCTION("""COMPUTED_VALUE"""),"超級英雄片（如：Marvel、DC）")</f>
        <v>超級英雄片（如：Marvel、DC）</v>
      </c>
      <c r="K25" s="18" t="str">
        <f ca="1">IFERROR(__xludf.DUMMYFUNCTION("""COMPUTED_VALUE"""),"MKJ")</f>
        <v>MKJ</v>
      </c>
      <c r="L25" s="18"/>
    </row>
    <row r="26" spans="1:12" ht="22.5" customHeight="1" x14ac:dyDescent="0.15">
      <c r="A26" s="17">
        <f ca="1">IFERROR(__xludf.DUMMYFUNCTION("""COMPUTED_VALUE"""),46063.1117759259)</f>
        <v>46063.1117759259</v>
      </c>
      <c r="B26" s="18" t="str">
        <f ca="1">IFERROR(__xludf.DUMMYFUNCTION("""COMPUTED_VALUE"""),"呂存笙")</f>
        <v>呂存笙</v>
      </c>
      <c r="C26" s="18" t="str">
        <f ca="1">IFERROR(__xludf.DUMMYFUNCTION("""COMPUTED_VALUE"""),"cmpunk9489@gmail.com")</f>
        <v>cmpunk9489@gmail.com</v>
      </c>
      <c r="D26" s="18" t="str">
        <f ca="1">IFERROR(__xludf.DUMMYFUNCTION("""COMPUTED_VALUE"""),"0930653305")</f>
        <v>0930653305</v>
      </c>
      <c r="E26" s="18" t="str">
        <f ca="1">IFERROR(__xludf.DUMMYFUNCTION("""COMPUTED_VALUE"""),"生理男")</f>
        <v>生理男</v>
      </c>
      <c r="F26" s="18" t="str">
        <f ca="1">IFERROR(__xludf.DUMMYFUNCTION("""COMPUTED_VALUE"""),"21-25")</f>
        <v>21-25</v>
      </c>
      <c r="G26" s="18" t="str">
        <f ca="1">IFERROR(__xludf.DUMMYFUNCTION("""COMPUTED_VALUE"""),"中醫系")</f>
        <v>中醫系</v>
      </c>
      <c r="H26" s="18" t="str">
        <f ca="1">IFERROR(__xludf.DUMMYFUNCTION("""COMPUTED_VALUE"""),"半年一次")</f>
        <v>半年一次</v>
      </c>
      <c r="I26" s="18" t="str">
        <f ca="1">IFERROR(__xludf.DUMMYFUNCTION("""COMPUTED_VALUE"""),"魔法公主")</f>
        <v>魔法公主</v>
      </c>
      <c r="J26" s="18" t="str">
        <f ca="1">IFERROR(__xludf.DUMMYFUNCTION("""COMPUTED_VALUE"""),"超級英雄片（如：Marvel、DC）, 科幻片, 恐怖片, 動漫片")</f>
        <v>超級英雄片（如：Marvel、DC）, 科幻片, 恐怖片, 動漫片</v>
      </c>
      <c r="K26" s="18" t="str">
        <f ca="1">IFERROR(__xludf.DUMMYFUNCTION("""COMPUTED_VALUE"""),"詹子儀")</f>
        <v>詹子儀</v>
      </c>
      <c r="L26" s="18" t="str">
        <f ca="1">IFERROR(__xludf.DUMMYFUNCTION("""COMPUTED_VALUE"""),"辛苦了！加油")</f>
        <v>辛苦了！加油</v>
      </c>
    </row>
    <row r="27" spans="1:12" ht="22.5" customHeight="1" x14ac:dyDescent="0.15">
      <c r="A27" s="17">
        <f ca="1">IFERROR(__xludf.DUMMYFUNCTION("""COMPUTED_VALUE"""),46068.6096730671)</f>
        <v>46068.609673067098</v>
      </c>
      <c r="B27" s="18" t="str">
        <f ca="1">IFERROR(__xludf.DUMMYFUNCTION("""COMPUTED_VALUE"""),"陳家豪")</f>
        <v>陳家豪</v>
      </c>
      <c r="C27" s="18" t="str">
        <f ca="1">IFERROR(__xludf.DUMMYFUNCTION("""COMPUTED_VALUE"""),"vin92.tw@gmail.com")</f>
        <v>vin92.tw@gmail.com</v>
      </c>
      <c r="D27" s="18" t="str">
        <f ca="1">IFERROR(__xludf.DUMMYFUNCTION("""COMPUTED_VALUE"""),"0963780316")</f>
        <v>0963780316</v>
      </c>
      <c r="E27" s="18" t="str">
        <f ca="1">IFERROR(__xludf.DUMMYFUNCTION("""COMPUTED_VALUE"""),"生理男")</f>
        <v>生理男</v>
      </c>
      <c r="F27" s="18" t="str">
        <f ca="1">IFERROR(__xludf.DUMMYFUNCTION("""COMPUTED_VALUE"""),"21-25")</f>
        <v>21-25</v>
      </c>
      <c r="G27" s="18" t="str">
        <f ca="1">IFERROR(__xludf.DUMMYFUNCTION("""COMPUTED_VALUE"""),"文學系")</f>
        <v>文學系</v>
      </c>
      <c r="H27" s="18" t="str">
        <f ca="1">IFERROR(__xludf.DUMMYFUNCTION("""COMPUTED_VALUE"""),"一週一次或以上")</f>
        <v>一週一次或以上</v>
      </c>
      <c r="I27" s="18" t="str">
        <f ca="1">IFERROR(__xludf.DUMMYFUNCTION("""COMPUTED_VALUE"""),"蜜蜂與遠雷、青春末世物語、情感的價值、爸媽死了我卻不想哭")</f>
        <v>蜜蜂與遠雷、青春末世物語、情感的價值、爸媽死了我卻不想哭</v>
      </c>
      <c r="J27" s="18" t="str">
        <f ca="1">IFERROR(__xludf.DUMMYFUNCTION("""COMPUTED_VALUE"""),"超級英雄片（如：Marvel、DC）, 動作片 (如：007、不可能的任務、玩命關頭), 刑偵片, 科幻片, 奇幻冒險片（如：哈利波特系列、魔戒）, 文藝劇情片, 恐怖片, 音樂比例佔很重要的片")</f>
        <v>超級英雄片（如：Marvel、DC）, 動作片 (如：007、不可能的任務、玩命關頭), 刑偵片, 科幻片, 奇幻冒險片（如：哈利波特系列、魔戒）, 文藝劇情片, 恐怖片, 音樂比例佔很重要的片</v>
      </c>
      <c r="K27" s="18" t="str">
        <f ca="1">IFERROR(__xludf.DUMMYFUNCTION("""COMPUTED_VALUE"""),"Enya")</f>
        <v>Enya</v>
      </c>
      <c r="L27" s="18" t="str">
        <f ca="1">IFERROR(__xludf.DUMMYFUNCTION("""COMPUTED_VALUE"""),"🈚️")</f>
        <v>🈚️</v>
      </c>
    </row>
    <row r="28" spans="1:12" ht="22.5" customHeight="1" x14ac:dyDescent="0.15">
      <c r="A28" s="17">
        <f ca="1">IFERROR(__xludf.DUMMYFUNCTION("""COMPUTED_VALUE"""),46064.5898307291)</f>
        <v>46064.589830729099</v>
      </c>
      <c r="B28" s="18" t="str">
        <f ca="1">IFERROR(__xludf.DUMMYFUNCTION("""COMPUTED_VALUE"""),"郭炳盛")</f>
        <v>郭炳盛</v>
      </c>
      <c r="C28" s="18" t="str">
        <f ca="1">IFERROR(__xludf.DUMMYFUNCTION("""COMPUTED_VALUE"""),"qwer50714@gmail.com")</f>
        <v>qwer50714@gmail.com</v>
      </c>
      <c r="D28" s="18" t="str">
        <f ca="1">IFERROR(__xludf.DUMMYFUNCTION("""COMPUTED_VALUE"""),"0916995980")</f>
        <v>0916995980</v>
      </c>
      <c r="E28" s="18" t="str">
        <f ca="1">IFERROR(__xludf.DUMMYFUNCTION("""COMPUTED_VALUE"""),"生理男")</f>
        <v>生理男</v>
      </c>
      <c r="F28" s="18" t="str">
        <f ca="1">IFERROR(__xludf.DUMMYFUNCTION("""COMPUTED_VALUE"""),"21-25")</f>
        <v>21-25</v>
      </c>
      <c r="G28" s="18" t="str">
        <f ca="1">IFERROR(__xludf.DUMMYFUNCTION("""COMPUTED_VALUE"""),"外派")</f>
        <v>外派</v>
      </c>
      <c r="H28" s="18" t="str">
        <f ca="1">IFERROR(__xludf.DUMMYFUNCTION("""COMPUTED_VALUE"""),"一個月一次")</f>
        <v>一個月一次</v>
      </c>
      <c r="I28" s="18" t="str">
        <f ca="1">IFERROR(__xludf.DUMMYFUNCTION("""COMPUTED_VALUE"""),"Mùi Phở")</f>
        <v>Mùi Phở</v>
      </c>
      <c r="J28" s="18" t="str">
        <f ca="1">IFERROR(__xludf.DUMMYFUNCTION("""COMPUTED_VALUE"""),"超級英雄片（如：Marvel、DC）, 動作片 (如：007、不可能的任務、玩命關頭), 科幻片, 浪漫愛情片, 恐怖片, 動漫片")</f>
        <v>超級英雄片（如：Marvel、DC）, 動作片 (如：007、不可能的任務、玩命關頭), 科幻片, 浪漫愛情片, 恐怖片, 動漫片</v>
      </c>
      <c r="K28" s="18" t="str">
        <f ca="1">IFERROR(__xludf.DUMMYFUNCTION("""COMPUTED_VALUE"""),"Josie")</f>
        <v>Josie</v>
      </c>
      <c r="L28" s="18" t="str">
        <f ca="1">IFERROR(__xludf.DUMMYFUNCTION("""COMPUTED_VALUE"""),"預計四月下旬回台")</f>
        <v>預計四月下旬回台</v>
      </c>
    </row>
    <row r="29" spans="1:12" ht="22.5" customHeight="1" x14ac:dyDescent="0.15">
      <c r="A29" s="17">
        <f ca="1">IFERROR(__xludf.DUMMYFUNCTION("""COMPUTED_VALUE"""),46066.0613983449)</f>
        <v>46066.0613983449</v>
      </c>
      <c r="B29" s="18" t="str">
        <f ca="1">IFERROR(__xludf.DUMMYFUNCTION("""COMPUTED_VALUE"""),"廖元維")</f>
        <v>廖元維</v>
      </c>
      <c r="C29" s="18" t="str">
        <f ca="1">IFERROR(__xludf.DUMMYFUNCTION("""COMPUTED_VALUE"""),"willy2004920@gmail.com")</f>
        <v>willy2004920@gmail.com</v>
      </c>
      <c r="D29" s="18" t="str">
        <f ca="1">IFERROR(__xludf.DUMMYFUNCTION("""COMPUTED_VALUE"""),"0972096170")</f>
        <v>0972096170</v>
      </c>
      <c r="E29" s="18" t="str">
        <f ca="1">IFERROR(__xludf.DUMMYFUNCTION("""COMPUTED_VALUE"""),"生理男")</f>
        <v>生理男</v>
      </c>
      <c r="F29" s="18" t="str">
        <f ca="1">IFERROR(__xludf.DUMMYFUNCTION("""COMPUTED_VALUE"""),"21-25")</f>
        <v>21-25</v>
      </c>
      <c r="G29" s="18" t="str">
        <f ca="1">IFERROR(__xludf.DUMMYFUNCTION("""COMPUTED_VALUE"""),"成功大學 資訊工程學系")</f>
        <v>成功大學 資訊工程學系</v>
      </c>
      <c r="H29" s="18" t="str">
        <f ca="1">IFERROR(__xludf.DUMMYFUNCTION("""COMPUTED_VALUE"""),"一個月一次")</f>
        <v>一個月一次</v>
      </c>
      <c r="I29" s="18" t="str">
        <f ca="1">IFERROR(__xludf.DUMMYFUNCTION("""COMPUTED_VALUE"""),"藤本樹17～21")</f>
        <v>藤本樹17～21</v>
      </c>
      <c r="J29" s="18" t="str">
        <f ca="1">IFERROR(__xludf.DUMMYFUNCTION("""COMPUTED_VALUE"""),"超級英雄片（如：Marvel、DC）, 動作片 (如：007、不可能的任務、玩命關頭), 科幻片, 奇幻冒險片（如：哈利波特系列、魔戒）, 動漫片")</f>
        <v>超級英雄片（如：Marvel、DC）, 動作片 (如：007、不可能的任務、玩命關頭), 科幻片, 奇幻冒險片（如：哈利波特系列、魔戒）, 動漫片</v>
      </c>
      <c r="K29" s="18" t="str">
        <f ca="1">IFERROR(__xludf.DUMMYFUNCTION("""COMPUTED_VALUE"""),"蔡宜真")</f>
        <v>蔡宜真</v>
      </c>
      <c r="L29" s="18"/>
    </row>
    <row r="30" spans="1:12" ht="22.5" customHeight="1" x14ac:dyDescent="0.15">
      <c r="A30" s="17">
        <f ca="1">IFERROR(__xludf.DUMMYFUNCTION("""COMPUTED_VALUE"""),46065.4378509953)</f>
        <v>46065.437850995302</v>
      </c>
      <c r="B30" s="18" t="str">
        <f ca="1">IFERROR(__xludf.DUMMYFUNCTION("""COMPUTED_VALUE"""),"王柏允")</f>
        <v>王柏允</v>
      </c>
      <c r="C30" s="18" t="str">
        <f ca="1">IFERROR(__xludf.DUMMYFUNCTION("""COMPUTED_VALUE"""),"a230443@gmail.com")</f>
        <v>a230443@gmail.com</v>
      </c>
      <c r="D30" s="18"/>
      <c r="E30" s="18" t="str">
        <f ca="1">IFERROR(__xludf.DUMMYFUNCTION("""COMPUTED_VALUE"""),"生理男")</f>
        <v>生理男</v>
      </c>
      <c r="F30" s="18" t="str">
        <f ca="1">IFERROR(__xludf.DUMMYFUNCTION("""COMPUTED_VALUE"""),"21-25")</f>
        <v>21-25</v>
      </c>
      <c r="G30" s="18" t="str">
        <f ca="1">IFERROR(__xludf.DUMMYFUNCTION("""COMPUTED_VALUE"""),"房仲")</f>
        <v>房仲</v>
      </c>
      <c r="H30" s="18" t="str">
        <f ca="1">IFERROR(__xludf.DUMMYFUNCTION("""COMPUTED_VALUE"""),"三個月一次")</f>
        <v>三個月一次</v>
      </c>
      <c r="I30" s="18" t="str">
        <f ca="1">IFERROR(__xludf.DUMMYFUNCTION("""COMPUTED_VALUE"""),"無")</f>
        <v>無</v>
      </c>
      <c r="J30" s="18" t="str">
        <f ca="1">IFERROR(__xludf.DUMMYFUNCTION("""COMPUTED_VALUE"""),"刑偵片, 科幻片, 恐怖片")</f>
        <v>刑偵片, 科幻片, 恐怖片</v>
      </c>
      <c r="K30" s="18" t="str">
        <f ca="1">IFERROR(__xludf.DUMMYFUNCTION("""COMPUTED_VALUE"""),"Josie")</f>
        <v>Josie</v>
      </c>
      <c r="L30" s="18" t="str">
        <f ca="1">IFERROR(__xludf.DUMMYFUNCTION("""COMPUTED_VALUE"""),"無")</f>
        <v>無</v>
      </c>
    </row>
    <row r="31" spans="1:12" ht="22.5" customHeight="1" x14ac:dyDescent="0.15">
      <c r="A31" s="17">
        <f ca="1">IFERROR(__xludf.DUMMYFUNCTION("""COMPUTED_VALUE"""),46064.8379579282)</f>
        <v>46064.837957928197</v>
      </c>
      <c r="B31" s="18" t="str">
        <f ca="1">IFERROR(__xludf.DUMMYFUNCTION("""COMPUTED_VALUE"""),"莊字東")</f>
        <v>莊字東</v>
      </c>
      <c r="C31" s="18" t="str">
        <f ca="1">IFERROR(__xludf.DUMMYFUNCTION("""COMPUTED_VALUE"""),"arthur1558@gmail.com")</f>
        <v>arthur1558@gmail.com</v>
      </c>
      <c r="D31" s="18"/>
      <c r="E31" s="18" t="str">
        <f ca="1">IFERROR(__xludf.DUMMYFUNCTION("""COMPUTED_VALUE"""),"生理男")</f>
        <v>生理男</v>
      </c>
      <c r="F31" s="18" t="str">
        <f ca="1">IFERROR(__xludf.DUMMYFUNCTION("""COMPUTED_VALUE"""),"21-25")</f>
        <v>21-25</v>
      </c>
      <c r="G31" s="18" t="str">
        <f ca="1">IFERROR(__xludf.DUMMYFUNCTION("""COMPUTED_VALUE"""),"哲學系")</f>
        <v>哲學系</v>
      </c>
      <c r="H31" s="18" t="str">
        <f ca="1">IFERROR(__xludf.DUMMYFUNCTION("""COMPUTED_VALUE"""),"半年一次")</f>
        <v>半年一次</v>
      </c>
      <c r="I31" s="18" t="str">
        <f ca="1">IFERROR(__xludf.DUMMYFUNCTION("""COMPUTED_VALUE"""),"眼鏡蛇與真心")</f>
        <v>眼鏡蛇與真心</v>
      </c>
      <c r="J31" s="18" t="str">
        <f ca="1">IFERROR(__xludf.DUMMYFUNCTION("""COMPUTED_VALUE"""),"超級英雄片（如：Marvel、DC）, 動作片 (如：007、不可能的任務、玩命關頭), 刑偵片, 科幻片, 奇幻冒險片（如：哈利波特系列、魔戒）, 浪漫愛情片, 文藝劇情片, 恐怖片, 動漫片, 喜劇片")</f>
        <v>超級英雄片（如：Marvel、DC）, 動作片 (如：007、不可能的任務、玩命關頭), 刑偵片, 科幻片, 奇幻冒險片（如：哈利波特系列、魔戒）, 浪漫愛情片, 文藝劇情片, 恐怖片, 動漫片, 喜劇片</v>
      </c>
      <c r="K31" s="18" t="str">
        <f ca="1">IFERROR(__xludf.DUMMYFUNCTION("""COMPUTED_VALUE"""),"嗣軒")</f>
        <v>嗣軒</v>
      </c>
      <c r="L31" s="18"/>
    </row>
    <row r="32" spans="1:12" ht="22.5" customHeight="1" x14ac:dyDescent="0.15">
      <c r="A32" s="17">
        <f ca="1">IFERROR(__xludf.DUMMYFUNCTION("""COMPUTED_VALUE"""),46066.6197032638)</f>
        <v>46066.619703263801</v>
      </c>
      <c r="B32" s="18" t="str">
        <f ca="1">IFERROR(__xludf.DUMMYFUNCTION("""COMPUTED_VALUE"""),"施相宇")</f>
        <v>施相宇</v>
      </c>
      <c r="C32" s="18" t="str">
        <f ca="1">IFERROR(__xludf.DUMMYFUNCTION("""COMPUTED_VALUE"""),"jasmine242324@gmail.com")</f>
        <v>jasmine242324@gmail.com</v>
      </c>
      <c r="D32" s="18"/>
      <c r="E32" s="18" t="str">
        <f ca="1">IFERROR(__xludf.DUMMYFUNCTION("""COMPUTED_VALUE"""),"生理男")</f>
        <v>生理男</v>
      </c>
      <c r="F32" s="18" t="str">
        <f ca="1">IFERROR(__xludf.DUMMYFUNCTION("""COMPUTED_VALUE"""),"26-30")</f>
        <v>26-30</v>
      </c>
      <c r="G32" s="18" t="str">
        <f ca="1">IFERROR(__xludf.DUMMYFUNCTION("""COMPUTED_VALUE"""),"古蹟修復建築設計師")</f>
        <v>古蹟修復建築設計師</v>
      </c>
      <c r="H32" s="18" t="str">
        <f ca="1">IFERROR(__xludf.DUMMYFUNCTION("""COMPUTED_VALUE"""),"半年一次")</f>
        <v>半年一次</v>
      </c>
      <c r="I32" s="18" t="str">
        <f ca="1">IFERROR(__xludf.DUMMYFUNCTION("""COMPUTED_VALUE"""),"阿煩答 火之燼（？")</f>
        <v>阿煩答 火之燼（？</v>
      </c>
      <c r="J32" s="18" t="str">
        <f ca="1">IFERROR(__xludf.DUMMYFUNCTION("""COMPUTED_VALUE"""),"超級英雄片（如：Marvel、DC）, 動作片 (如：007、不可能的任務、玩命關頭), 科幻片, 奇幻冒險片（如：哈利波特系列、魔戒）, 文藝劇情片, 恐怖片, 動漫片, 喜劇片")</f>
        <v>超級英雄片（如：Marvel、DC）, 動作片 (如：007、不可能的任務、玩命關頭), 科幻片, 奇幻冒險片（如：哈利波特系列、魔戒）, 文藝劇情片, 恐怖片, 動漫片, 喜劇片</v>
      </c>
      <c r="K32" s="18" t="str">
        <f ca="1">IFERROR(__xludf.DUMMYFUNCTION("""COMPUTED_VALUE"""),"MKJ")</f>
        <v>MKJ</v>
      </c>
      <c r="L32" s="18" t="str">
        <f ca="1">IFERROR(__xludf.DUMMYFUNCTION("""COMPUTED_VALUE"""),"新年快樂~~")</f>
        <v>新年快樂~~</v>
      </c>
    </row>
    <row r="33" spans="1:12" ht="22.5" customHeight="1" x14ac:dyDescent="0.15">
      <c r="A33" s="17">
        <f ca="1">IFERROR(__xludf.DUMMYFUNCTION("""COMPUTED_VALUE"""),46062.9530678472)</f>
        <v>46062.9530678472</v>
      </c>
      <c r="B33" s="18" t="str">
        <f ca="1">IFERROR(__xludf.DUMMYFUNCTION("""COMPUTED_VALUE"""),"胡梓賢")</f>
        <v>胡梓賢</v>
      </c>
      <c r="C33" s="18" t="str">
        <f ca="1">IFERROR(__xludf.DUMMYFUNCTION("""COMPUTED_VALUE"""),"huguagua2021@gmail.com")</f>
        <v>huguagua2021@gmail.com</v>
      </c>
      <c r="D33" s="18"/>
      <c r="E33" s="18" t="str">
        <f ca="1">IFERROR(__xludf.DUMMYFUNCTION("""COMPUTED_VALUE"""),"生理男")</f>
        <v>生理男</v>
      </c>
      <c r="F33" s="18" t="str">
        <f ca="1">IFERROR(__xludf.DUMMYFUNCTION("""COMPUTED_VALUE"""),"26-30")</f>
        <v>26-30</v>
      </c>
      <c r="G33" s="18" t="str">
        <f ca="1">IFERROR(__xludf.DUMMYFUNCTION("""COMPUTED_VALUE"""),"政治學研究所")</f>
        <v>政治學研究所</v>
      </c>
      <c r="H33" s="18" t="str">
        <f ca="1">IFERROR(__xludf.DUMMYFUNCTION("""COMPUTED_VALUE"""),"一週一次或以上")</f>
        <v>一週一次或以上</v>
      </c>
      <c r="I33" s="18" t="str">
        <f ca="1">IFERROR(__xludf.DUMMYFUNCTION("""COMPUTED_VALUE"""),"象人、情感的價值、陽光女子合唱團")</f>
        <v>象人、情感的價值、陽光女子合唱團</v>
      </c>
      <c r="J33" s="18" t="str">
        <f ca="1">IFERROR(__xludf.DUMMYFUNCTION("""COMPUTED_VALUE"""),"超級英雄片（如：Marvel、DC）, 動作片 (如：007、不可能的任務、玩命關頭), 奇幻冒險片（如：哈利波特系列、魔戒）, 文藝劇情片, 動漫片")</f>
        <v>超級英雄片（如：Marvel、DC）, 動作片 (如：007、不可能的任務、玩命關頭), 奇幻冒險片（如：哈利波特系列、魔戒）, 文藝劇情片, 動漫片</v>
      </c>
      <c r="K33" s="18" t="str">
        <f ca="1">IFERROR(__xludf.DUMMYFUNCTION("""COMPUTED_VALUE"""),"吳宗勳")</f>
        <v>吳宗勳</v>
      </c>
      <c r="L33" s="18"/>
    </row>
    <row r="34" spans="1:12" ht="22.5" customHeight="1" x14ac:dyDescent="0.15">
      <c r="A34" s="17">
        <f ca="1">IFERROR(__xludf.DUMMYFUNCTION("""COMPUTED_VALUE"""),46062.731141331)</f>
        <v>46062.731141331002</v>
      </c>
      <c r="B34" s="18" t="str">
        <f ca="1">IFERROR(__xludf.DUMMYFUNCTION("""COMPUTED_VALUE"""),"阮奕安")</f>
        <v>阮奕安</v>
      </c>
      <c r="C34" s="18" t="str">
        <f ca="1">IFERROR(__xludf.DUMMYFUNCTION("""COMPUTED_VALUE"""),"ian7225078@gmail.com")</f>
        <v>ian7225078@gmail.com</v>
      </c>
      <c r="D34" s="18"/>
      <c r="E34" s="18" t="str">
        <f ca="1">IFERROR(__xludf.DUMMYFUNCTION("""COMPUTED_VALUE"""),"生理男")</f>
        <v>生理男</v>
      </c>
      <c r="F34" s="18" t="str">
        <f ca="1">IFERROR(__xludf.DUMMYFUNCTION("""COMPUTED_VALUE"""),"26-30")</f>
        <v>26-30</v>
      </c>
      <c r="G34" s="18" t="str">
        <f ca="1">IFERROR(__xludf.DUMMYFUNCTION("""COMPUTED_VALUE"""),"軟體業")</f>
        <v>軟體業</v>
      </c>
      <c r="H34" s="18" t="str">
        <f ca="1">IFERROR(__xludf.DUMMYFUNCTION("""COMPUTED_VALUE"""),"三個月一次")</f>
        <v>三個月一次</v>
      </c>
      <c r="I34" s="18" t="str">
        <f ca="1">IFERROR(__xludf.DUMMYFUNCTION("""COMPUTED_VALUE"""),"換乘真愛, F1, 超人, 魔法壞女巫, 少年Pi的奇幻漂流(舞台劇的電影版)")</f>
        <v>換乘真愛, F1, 超人, 魔法壞女巫, 少年Pi的奇幻漂流(舞台劇的電影版)</v>
      </c>
      <c r="J34" s="18" t="str">
        <f ca="1">IFERROR(__xludf.DUMMYFUNCTION("""COMPUTED_VALUE"""),"超級英雄片（如：Marvel、DC）, 動作片 (如：007、不可能的任務、玩命關頭), 刑偵片, 科幻片, 奇幻冒險片（如：哈利波特系列、魔戒）, 浪漫愛情片, 動漫片, 喜劇片")</f>
        <v>超級英雄片（如：Marvel、DC）, 動作片 (如：007、不可能的任務、玩命關頭), 刑偵片, 科幻片, 奇幻冒險片（如：哈利波特系列、魔戒）, 浪漫愛情片, 動漫片, 喜劇片</v>
      </c>
      <c r="K34" s="18" t="str">
        <f ca="1">IFERROR(__xludf.DUMMYFUNCTION("""COMPUTED_VALUE"""),"佩雯")</f>
        <v>佩雯</v>
      </c>
      <c r="L34" s="18"/>
    </row>
    <row r="35" spans="1:12" ht="22.5" customHeight="1" x14ac:dyDescent="0.15">
      <c r="A35" s="17">
        <f ca="1">IFERROR(__xludf.DUMMYFUNCTION("""COMPUTED_VALUE"""),46062.9703890624)</f>
        <v>46062.9703890624</v>
      </c>
      <c r="B35" s="18" t="str">
        <f ca="1">IFERROR(__xludf.DUMMYFUNCTION("""COMPUTED_VALUE"""),"李守治")</f>
        <v>李守治</v>
      </c>
      <c r="C35" s="18" t="str">
        <f ca="1">IFERROR(__xludf.DUMMYFUNCTION("""COMPUTED_VALUE"""),"add084525@gmail.com")</f>
        <v>add084525@gmail.com</v>
      </c>
      <c r="D35" s="18" t="str">
        <f ca="1">IFERROR(__xludf.DUMMYFUNCTION("""COMPUTED_VALUE"""),"0963273959")</f>
        <v>0963273959</v>
      </c>
      <c r="E35" s="18" t="str">
        <f ca="1">IFERROR(__xludf.DUMMYFUNCTION("""COMPUTED_VALUE"""),"生理男")</f>
        <v>生理男</v>
      </c>
      <c r="F35" s="18" t="str">
        <f ca="1">IFERROR(__xludf.DUMMYFUNCTION("""COMPUTED_VALUE"""),"26-30")</f>
        <v>26-30</v>
      </c>
      <c r="G35" s="18" t="str">
        <f ca="1">IFERROR(__xludf.DUMMYFUNCTION("""COMPUTED_VALUE"""),"線上課程／內容製作")</f>
        <v>線上課程／內容製作</v>
      </c>
      <c r="H35" s="18" t="str">
        <f ca="1">IFERROR(__xludf.DUMMYFUNCTION("""COMPUTED_VALUE"""),"一個月一次")</f>
        <v>一個月一次</v>
      </c>
      <c r="I35" s="18" t="str">
        <f ca="1">IFERROR(__xludf.DUMMYFUNCTION("""COMPUTED_VALUE"""),"家弒服務、那張照片裡的我們、大濛、國寶")</f>
        <v>家弒服務、那張照片裡的我們、大濛、國寶</v>
      </c>
      <c r="J35" s="18" t="str">
        <f ca="1">IFERROR(__xludf.DUMMYFUNCTION("""COMPUTED_VALUE"""),"超級英雄片（如：Marvel、DC）, 動作片 (如：007、不可能的任務、玩命關頭), 刑偵片, 科幻片, 奇幻冒險片（如：哈利波特系列、魔戒）, 動漫片")</f>
        <v>超級英雄片（如：Marvel、DC）, 動作片 (如：007、不可能的任務、玩命關頭), 刑偵片, 科幻片, 奇幻冒險片（如：哈利波特系列、魔戒）, 動漫片</v>
      </c>
      <c r="K35" s="18" t="str">
        <f ca="1">IFERROR(__xludf.DUMMYFUNCTION("""COMPUTED_VALUE"""),"佩雯")</f>
        <v>佩雯</v>
      </c>
      <c r="L35" s="18"/>
    </row>
    <row r="36" spans="1:12" ht="22.5" customHeight="1" x14ac:dyDescent="0.15">
      <c r="A36" s="17">
        <f ca="1">IFERROR(__xludf.DUMMYFUNCTION("""COMPUTED_VALUE"""),46064.5945742824)</f>
        <v>46064.594574282397</v>
      </c>
      <c r="B36" s="18" t="str">
        <f ca="1">IFERROR(__xludf.DUMMYFUNCTION("""COMPUTED_VALUE"""),"申祐銓")</f>
        <v>申祐銓</v>
      </c>
      <c r="C36" s="18" t="str">
        <f ca="1">IFERROR(__xludf.DUMMYFUNCTION("""COMPUTED_VALUE"""),"wiwi20020710@gmail.com")</f>
        <v>wiwi20020710@gmail.com</v>
      </c>
      <c r="D36" s="18" t="str">
        <f ca="1">IFERROR(__xludf.DUMMYFUNCTION("""COMPUTED_VALUE"""),"0968107533")</f>
        <v>0968107533</v>
      </c>
      <c r="E36" s="18" t="str">
        <f ca="1">IFERROR(__xludf.DUMMYFUNCTION("""COMPUTED_VALUE"""),"生理男")</f>
        <v>生理男</v>
      </c>
      <c r="F36" s="18" t="str">
        <f ca="1">IFERROR(__xludf.DUMMYFUNCTION("""COMPUTED_VALUE"""),"21-25")</f>
        <v>21-25</v>
      </c>
      <c r="G36" s="18" t="str">
        <f ca="1">IFERROR(__xludf.DUMMYFUNCTION("""COMPUTED_VALUE"""),"運輸")</f>
        <v>運輸</v>
      </c>
      <c r="H36" s="18" t="str">
        <f ca="1">IFERROR(__xludf.DUMMYFUNCTION("""COMPUTED_VALUE"""),"一年一次")</f>
        <v>一年一次</v>
      </c>
      <c r="I36" s="18" t="str">
        <f ca="1">IFERROR(__xludf.DUMMYFUNCTION("""COMPUTED_VALUE"""),"最近沒看電影")</f>
        <v>最近沒看電影</v>
      </c>
      <c r="J36" s="18" t="str">
        <f ca="1">IFERROR(__xludf.DUMMYFUNCTION("""COMPUTED_VALUE"""),"動作片 (如：007、不可能的任務、玩命關頭), 科幻片, 奇幻冒險片（如：哈利波特系列、魔戒）, 動漫片")</f>
        <v>動作片 (如：007、不可能的任務、玩命關頭), 科幻片, 奇幻冒險片（如：哈利波特系列、魔戒）, 動漫片</v>
      </c>
      <c r="K36" s="18" t="str">
        <f ca="1">IFERROR(__xludf.DUMMYFUNCTION("""COMPUTED_VALUE"""),"Josie")</f>
        <v>Josie</v>
      </c>
      <c r="L36" s="18" t="str">
        <f ca="1">IFERROR(__xludf.DUMMYFUNCTION("""COMPUTED_VALUE"""),"無")</f>
        <v>無</v>
      </c>
    </row>
    <row r="37" spans="1:12" ht="22.5" customHeight="1" x14ac:dyDescent="0.15">
      <c r="A37" s="17">
        <f ca="1">IFERROR(__xludf.DUMMYFUNCTION("""COMPUTED_VALUE"""),46062.9187241319)</f>
        <v>46062.918724131901</v>
      </c>
      <c r="B37" s="18" t="str">
        <f ca="1">IFERROR(__xludf.DUMMYFUNCTION("""COMPUTED_VALUE"""),"林哲毅")</f>
        <v>林哲毅</v>
      </c>
      <c r="C37" s="18" t="str">
        <f ca="1">IFERROR(__xludf.DUMMYFUNCTION("""COMPUTED_VALUE"""),"ale31202@gmail.com ")</f>
        <v xml:space="preserve">ale31202@gmail.com </v>
      </c>
      <c r="D37" s="18"/>
      <c r="E37" s="18" t="str">
        <f ca="1">IFERROR(__xludf.DUMMYFUNCTION("""COMPUTED_VALUE"""),"生理男")</f>
        <v>生理男</v>
      </c>
      <c r="F37" s="18" t="str">
        <f ca="1">IFERROR(__xludf.DUMMYFUNCTION("""COMPUTED_VALUE"""),"26-30")</f>
        <v>26-30</v>
      </c>
      <c r="G37" s="18" t="str">
        <f ca="1">IFERROR(__xludf.DUMMYFUNCTION("""COMPUTED_VALUE"""),"醫師")</f>
        <v>醫師</v>
      </c>
      <c r="H37" s="18" t="str">
        <f ca="1">IFERROR(__xludf.DUMMYFUNCTION("""COMPUTED_VALUE"""),"一個月一次")</f>
        <v>一個月一次</v>
      </c>
      <c r="I37" s="18" t="str">
        <f ca="1">IFERROR(__xludf.DUMMYFUNCTION("""COMPUTED_VALUE"""),"全知讀者視角")</f>
        <v>全知讀者視角</v>
      </c>
      <c r="J37" s="18" t="str">
        <f ca="1">IFERROR(__xludf.DUMMYFUNCTION("""COMPUTED_VALUE"""),"超級英雄片（如：Marvel、DC）, 動作片 (如：007、不可能的任務、玩命關頭), 科幻片, 奇幻冒險片（如：哈利波特系列、魔戒）, 動漫片")</f>
        <v>超級英雄片（如：Marvel、DC）, 動作片 (如：007、不可能的任務、玩命關頭), 科幻片, 奇幻冒險片（如：哈利波特系列、魔戒）, 動漫片</v>
      </c>
      <c r="K37" s="18" t="str">
        <f ca="1">IFERROR(__xludf.DUMMYFUNCTION("""COMPUTED_VALUE"""),"吳佩珊")</f>
        <v>吳佩珊</v>
      </c>
      <c r="L37" s="18"/>
    </row>
    <row r="38" spans="1:12" ht="22.5" customHeight="1" x14ac:dyDescent="0.15">
      <c r="A38" s="17">
        <f ca="1">IFERROR(__xludf.DUMMYFUNCTION("""COMPUTED_VALUE"""),46065.6969103819)</f>
        <v>46065.696910381899</v>
      </c>
      <c r="B38" s="18" t="str">
        <f ca="1">IFERROR(__xludf.DUMMYFUNCTION("""COMPUTED_VALUE"""),"杜宥霖")</f>
        <v>杜宥霖</v>
      </c>
      <c r="C38" s="18" t="str">
        <f ca="1">IFERROR(__xludf.DUMMYFUNCTION("""COMPUTED_VALUE"""),"arsl4000@gmail.com")</f>
        <v>arsl4000@gmail.com</v>
      </c>
      <c r="D38" s="18"/>
      <c r="E38" s="18" t="str">
        <f ca="1">IFERROR(__xludf.DUMMYFUNCTION("""COMPUTED_VALUE"""),"生理男")</f>
        <v>生理男</v>
      </c>
      <c r="F38" s="18" t="str">
        <f ca="1">IFERROR(__xludf.DUMMYFUNCTION("""COMPUTED_VALUE"""),"31-35")</f>
        <v>31-35</v>
      </c>
      <c r="G38" s="18" t="str">
        <f ca="1">IFERROR(__xludf.DUMMYFUNCTION("""COMPUTED_VALUE"""),"助理")</f>
        <v>助理</v>
      </c>
      <c r="H38" s="18" t="str">
        <f ca="1">IFERROR(__xludf.DUMMYFUNCTION("""COMPUTED_VALUE"""),"一週一次或以上")</f>
        <v>一週一次或以上</v>
      </c>
      <c r="I38" s="18" t="str">
        <f ca="1">IFERROR(__xludf.DUMMYFUNCTION("""COMPUTED_VALUE"""),"人骨聖殿")</f>
        <v>人骨聖殿</v>
      </c>
      <c r="J38" s="18" t="str">
        <f ca="1">IFERROR(__xludf.DUMMYFUNCTION("""COMPUTED_VALUE"""),"超級英雄片（如：Marvel、DC）, 動作片 (如：007、不可能的任務、玩命關頭), 科幻片, 奇幻冒險片（如：哈利波特系列、魔戒）, 動漫片, 喜劇片")</f>
        <v>超級英雄片（如：Marvel、DC）, 動作片 (如：007、不可能的任務、玩命關頭), 科幻片, 奇幻冒險片（如：哈利波特系列、魔戒）, 動漫片, 喜劇片</v>
      </c>
      <c r="K38" s="18"/>
      <c r="L38" s="18"/>
    </row>
    <row r="39" spans="1:12" ht="22.5" customHeight="1" x14ac:dyDescent="0.15">
      <c r="A39" s="17">
        <f ca="1">IFERROR(__xludf.DUMMYFUNCTION("""COMPUTED_VALUE"""),46064.7431570486)</f>
        <v>46064.743157048601</v>
      </c>
      <c r="B39" s="18" t="str">
        <f ca="1">IFERROR(__xludf.DUMMYFUNCTION("""COMPUTED_VALUE"""),"趙珩宇")</f>
        <v>趙珩宇</v>
      </c>
      <c r="C39" s="18" t="str">
        <f ca="1">IFERROR(__xludf.DUMMYFUNCTION("""COMPUTED_VALUE"""),"henrychao521@gmail.com")</f>
        <v>henrychao521@gmail.com</v>
      </c>
      <c r="D39" s="18"/>
      <c r="E39" s="18" t="str">
        <f ca="1">IFERROR(__xludf.DUMMYFUNCTION("""COMPUTED_VALUE"""),"生理男")</f>
        <v>生理男</v>
      </c>
      <c r="F39" s="18" t="str">
        <f ca="1">IFERROR(__xludf.DUMMYFUNCTION("""COMPUTED_VALUE"""),"31-35")</f>
        <v>31-35</v>
      </c>
      <c r="G39" s="18" t="str">
        <f ca="1">IFERROR(__xludf.DUMMYFUNCTION("""COMPUTED_VALUE"""),"科技教育")</f>
        <v>科技教育</v>
      </c>
      <c r="H39" s="18" t="str">
        <f ca="1">IFERROR(__xludf.DUMMYFUNCTION("""COMPUTED_VALUE"""),"三個月一次")</f>
        <v>三個月一次</v>
      </c>
      <c r="I39" s="18" t="str">
        <f ca="1">IFERROR(__xludf.DUMMYFUNCTION("""COMPUTED_VALUE"""),"前幾天看什麼女孩的")</f>
        <v>前幾天看什麼女孩的</v>
      </c>
      <c r="J39" s="18" t="str">
        <f ca="1">IFERROR(__xludf.DUMMYFUNCTION("""COMPUTED_VALUE"""),"超級英雄片（如：Marvel、DC）, 動作片 (如：007、不可能的任務、玩命關頭), 刑偵片, 科幻片, 奇幻冒險片（如：哈利波特系列、魔戒）, 浪漫愛情片, 文藝劇情片, 恐怖片, 動漫片, 喜劇片")</f>
        <v>超級英雄片（如：Marvel、DC）, 動作片 (如：007、不可能的任務、玩命關頭), 刑偵片, 科幻片, 奇幻冒險片（如：哈利波特系列、魔戒）, 浪漫愛情片, 文藝劇情片, 恐怖片, 動漫片, 喜劇片</v>
      </c>
      <c r="K39" s="18" t="str">
        <f ca="1">IFERROR(__xludf.DUMMYFUNCTION("""COMPUTED_VALUE"""),"Ted")</f>
        <v>Ted</v>
      </c>
      <c r="L39" s="18"/>
    </row>
    <row r="40" spans="1:12" ht="22.5" customHeight="1" x14ac:dyDescent="0.15">
      <c r="A40" s="17">
        <f ca="1">IFERROR(__xludf.DUMMYFUNCTION("""COMPUTED_VALUE"""),46062.9414985069)</f>
        <v>46062.941498506902</v>
      </c>
      <c r="B40" s="18" t="str">
        <f ca="1">IFERROR(__xludf.DUMMYFUNCTION("""COMPUTED_VALUE"""),"盧晉德")</f>
        <v>盧晉德</v>
      </c>
      <c r="C40" s="18" t="str">
        <f ca="1">IFERROR(__xludf.DUMMYFUNCTION("""COMPUTED_VALUE"""),"air831108@gmail.com")</f>
        <v>air831108@gmail.com</v>
      </c>
      <c r="D40" s="18" t="str">
        <f ca="1">IFERROR(__xludf.DUMMYFUNCTION("""COMPUTED_VALUE"""),"0983751721")</f>
        <v>0983751721</v>
      </c>
      <c r="E40" s="18" t="str">
        <f ca="1">IFERROR(__xludf.DUMMYFUNCTION("""COMPUTED_VALUE"""),"生理男")</f>
        <v>生理男</v>
      </c>
      <c r="F40" s="18" t="str">
        <f ca="1">IFERROR(__xludf.DUMMYFUNCTION("""COMPUTED_VALUE"""),"31-35")</f>
        <v>31-35</v>
      </c>
      <c r="G40" s="18" t="str">
        <f ca="1">IFERROR(__xludf.DUMMYFUNCTION("""COMPUTED_VALUE"""),"傳統產業")</f>
        <v>傳統產業</v>
      </c>
      <c r="H40" s="18" t="str">
        <f ca="1">IFERROR(__xludf.DUMMYFUNCTION("""COMPUTED_VALUE"""),"一個月一次")</f>
        <v>一個月一次</v>
      </c>
      <c r="I40" s="18" t="str">
        <f ca="1">IFERROR(__xludf.DUMMYFUNCTION("""COMPUTED_VALUE"""),"Mygo總集篇")</f>
        <v>Mygo總集篇</v>
      </c>
      <c r="J40" s="18" t="str">
        <f ca="1">IFERROR(__xludf.DUMMYFUNCTION("""COMPUTED_VALUE"""),"動作片 (如：007、不可能的任務、玩命關頭), 恐怖片, 動漫片")</f>
        <v>動作片 (如：007、不可能的任務、玩命關頭), 恐怖片, 動漫片</v>
      </c>
      <c r="K40" s="18" t="str">
        <f ca="1">IFERROR(__xludf.DUMMYFUNCTION("""COMPUTED_VALUE"""),"穆可蓁")</f>
        <v>穆可蓁</v>
      </c>
      <c r="L40" s="18" t="str">
        <f ca="1">IFERROR(__xludf.DUMMYFUNCTION("""COMPUTED_VALUE"""),"無")</f>
        <v>無</v>
      </c>
    </row>
    <row r="41" spans="1:12" ht="22.5" customHeight="1" x14ac:dyDescent="0.15">
      <c r="A41" s="17">
        <f ca="1">IFERROR(__xludf.DUMMYFUNCTION("""COMPUTED_VALUE"""),46062.748764456)</f>
        <v>46062.748764456002</v>
      </c>
      <c r="B41" s="18" t="str">
        <f ca="1">IFERROR(__xludf.DUMMYFUNCTION("""COMPUTED_VALUE"""),"謝嘉芫")</f>
        <v>謝嘉芫</v>
      </c>
      <c r="C41" s="18" t="str">
        <f ca="1">IFERROR(__xludf.DUMMYFUNCTION("""COMPUTED_VALUE"""),"owenxie5132@gmail.com")</f>
        <v>owenxie5132@gmail.com</v>
      </c>
      <c r="D41" s="18" t="str">
        <f ca="1">IFERROR(__xludf.DUMMYFUNCTION("""COMPUTED_VALUE"""),"0953375132")</f>
        <v>0953375132</v>
      </c>
      <c r="E41" s="18" t="str">
        <f ca="1">IFERROR(__xludf.DUMMYFUNCTION("""COMPUTED_VALUE"""),"生理男")</f>
        <v>生理男</v>
      </c>
      <c r="F41" s="18" t="str">
        <f ca="1">IFERROR(__xludf.DUMMYFUNCTION("""COMPUTED_VALUE"""),"31-35")</f>
        <v>31-35</v>
      </c>
      <c r="G41" s="18" t="str">
        <f ca="1">IFERROR(__xludf.DUMMYFUNCTION("""COMPUTED_VALUE"""),"網路行銷")</f>
        <v>網路行銷</v>
      </c>
      <c r="H41" s="18" t="str">
        <f ca="1">IFERROR(__xludf.DUMMYFUNCTION("""COMPUTED_VALUE"""),"三個月一次")</f>
        <v>三個月一次</v>
      </c>
      <c r="I41" s="18" t="str">
        <f ca="1">IFERROR(__xludf.DUMMYFUNCTION("""COMPUTED_VALUE"""),"冠軍之路、鬼滅之刃無限城、排球少年垃圾場的決戰")</f>
        <v>冠軍之路、鬼滅之刃無限城、排球少年垃圾場的決戰</v>
      </c>
      <c r="J41" s="18" t="str">
        <f ca="1">IFERROR(__xludf.DUMMYFUNCTION("""COMPUTED_VALUE"""),"超級英雄片（如：Marvel、DC）, 動漫片")</f>
        <v>超級英雄片（如：Marvel、DC）, 動漫片</v>
      </c>
      <c r="K41" s="18" t="str">
        <f ca="1">IFERROR(__xludf.DUMMYFUNCTION("""COMPUTED_VALUE"""),"Sally")</f>
        <v>Sally</v>
      </c>
      <c r="L41" s="18"/>
    </row>
    <row r="42" spans="1:12" ht="22.5" customHeight="1" x14ac:dyDescent="0.15">
      <c r="A42" s="17">
        <f ca="1">IFERROR(__xludf.DUMMYFUNCTION("""COMPUTED_VALUE"""),46064.7935817245)</f>
        <v>46064.793581724502</v>
      </c>
      <c r="B42" s="18" t="str">
        <f ca="1">IFERROR(__xludf.DUMMYFUNCTION("""COMPUTED_VALUE"""),"林宇軒")</f>
        <v>林宇軒</v>
      </c>
      <c r="C42" s="18" t="str">
        <f ca="1">IFERROR(__xludf.DUMMYFUNCTION("""COMPUTED_VALUE"""),"cercer124321@gmail.com")</f>
        <v>cercer124321@gmail.com</v>
      </c>
      <c r="D42" s="18"/>
      <c r="E42" s="18" t="str">
        <f ca="1">IFERROR(__xludf.DUMMYFUNCTION("""COMPUTED_VALUE"""),"生理男")</f>
        <v>生理男</v>
      </c>
      <c r="F42" s="18" t="str">
        <f ca="1">IFERROR(__xludf.DUMMYFUNCTION("""COMPUTED_VALUE"""),"31-35")</f>
        <v>31-35</v>
      </c>
      <c r="G42" s="18" t="str">
        <f ca="1">IFERROR(__xludf.DUMMYFUNCTION("""COMPUTED_VALUE"""),"整復師")</f>
        <v>整復師</v>
      </c>
      <c r="H42" s="18" t="str">
        <f ca="1">IFERROR(__xludf.DUMMYFUNCTION("""COMPUTED_VALUE"""),"一個月一次")</f>
        <v>一個月一次</v>
      </c>
      <c r="I42" s="18" t="str">
        <f ca="1">IFERROR(__xludf.DUMMYFUNCTION("""COMPUTED_VALUE"""),"阿凡達3")</f>
        <v>阿凡達3</v>
      </c>
      <c r="J42" s="18" t="str">
        <f ca="1">IFERROR(__xludf.DUMMYFUNCTION("""COMPUTED_VALUE"""),"超級英雄片（如：Marvel、DC）, 動作片 (如：007、不可能的任務、玩命關頭), 刑偵片, 科幻片, 奇幻冒險片（如：哈利波特系列、魔戒）, 恐怖片, 喜劇片")</f>
        <v>超級英雄片（如：Marvel、DC）, 動作片 (如：007、不可能的任務、玩命關頭), 刑偵片, 科幻片, 奇幻冒險片（如：哈利波特系列、魔戒）, 恐怖片, 喜劇片</v>
      </c>
      <c r="K42" s="18" t="str">
        <f ca="1">IFERROR(__xludf.DUMMYFUNCTION("""COMPUTED_VALUE"""),"小四哥")</f>
        <v>小四哥</v>
      </c>
      <c r="L42" s="18"/>
    </row>
    <row r="43" spans="1:12" ht="22.5" customHeight="1" x14ac:dyDescent="0.15">
      <c r="A43" s="17">
        <f ca="1">IFERROR(__xludf.DUMMYFUNCTION("""COMPUTED_VALUE"""),46062.9320438078)</f>
        <v>46062.932043807799</v>
      </c>
      <c r="B43" s="18" t="str">
        <f ca="1">IFERROR(__xludf.DUMMYFUNCTION("""COMPUTED_VALUE"""),"丁展譽")</f>
        <v>丁展譽</v>
      </c>
      <c r="C43" s="18" t="str">
        <f ca="1">IFERROR(__xludf.DUMMYFUNCTION("""COMPUTED_VALUE"""),"chanyu.ding@gmail.com")</f>
        <v>chanyu.ding@gmail.com</v>
      </c>
      <c r="D43" s="18"/>
      <c r="E43" s="18" t="str">
        <f ca="1">IFERROR(__xludf.DUMMYFUNCTION("""COMPUTED_VALUE"""),"生理男")</f>
        <v>生理男</v>
      </c>
      <c r="F43" s="18" t="str">
        <f ca="1">IFERROR(__xludf.DUMMYFUNCTION("""COMPUTED_VALUE"""),"36-40")</f>
        <v>36-40</v>
      </c>
      <c r="G43" s="18" t="str">
        <f ca="1">IFERROR(__xludf.DUMMYFUNCTION("""COMPUTED_VALUE"""),"文創/科技/電商")</f>
        <v>文創/科技/電商</v>
      </c>
      <c r="H43" s="18" t="str">
        <f ca="1">IFERROR(__xludf.DUMMYFUNCTION("""COMPUTED_VALUE"""),"一週一次或以上")</f>
        <v>一週一次或以上</v>
      </c>
      <c r="I43" s="18" t="str">
        <f ca="1">IFERROR(__xludf.DUMMYFUNCTION("""COMPUTED_VALUE"""),"雙囍、大濛、陽光女子、Marty Supreme、冠軍之路、Send Help")</f>
        <v>雙囍、大濛、陽光女子、Marty Supreme、冠軍之路、Send Help</v>
      </c>
      <c r="J43" s="18" t="str">
        <f ca="1">IFERROR(__xludf.DUMMYFUNCTION("""COMPUTED_VALUE"""),"超級英雄片（如：Marvel、DC）, 動作片 (如：007、不可能的任務、玩命關頭), 刑偵片, 科幻片, 奇幻冒險片（如：哈利波特系列、魔戒）, 浪漫愛情片, 文藝劇情片, 恐怖片, 動漫片, 喜劇片")</f>
        <v>超級英雄片（如：Marvel、DC）, 動作片 (如：007、不可能的任務、玩命關頭), 刑偵片, 科幻片, 奇幻冒險片（如：哈利波特系列、魔戒）, 浪漫愛情片, 文藝劇情片, 恐怖片, 動漫片, 喜劇片</v>
      </c>
      <c r="K43" s="18" t="str">
        <f ca="1">IFERROR(__xludf.DUMMYFUNCTION("""COMPUTED_VALUE"""),"Jsf Hsu")</f>
        <v>Jsf Hsu</v>
      </c>
      <c r="L43" s="18"/>
    </row>
    <row r="44" spans="1:12" ht="22.5" customHeight="1" x14ac:dyDescent="0.15">
      <c r="A44" s="17">
        <f ca="1">IFERROR(__xludf.DUMMYFUNCTION("""COMPUTED_VALUE"""),46064.5440784027)</f>
        <v>46064.544078402701</v>
      </c>
      <c r="B44" s="18" t="str">
        <f ca="1">IFERROR(__xludf.DUMMYFUNCTION("""COMPUTED_VALUE"""),"許偉康")</f>
        <v>許偉康</v>
      </c>
      <c r="C44" s="18" t="str">
        <f ca="1">IFERROR(__xludf.DUMMYFUNCTION("""COMPUTED_VALUE"""),"weikanghsu@gmail.com")</f>
        <v>weikanghsu@gmail.com</v>
      </c>
      <c r="D44" s="18" t="str">
        <f ca="1">IFERROR(__xludf.DUMMYFUNCTION("""COMPUTED_VALUE"""),"0912551627")</f>
        <v>0912551627</v>
      </c>
      <c r="E44" s="18" t="str">
        <f ca="1">IFERROR(__xludf.DUMMYFUNCTION("""COMPUTED_VALUE"""),"生理男")</f>
        <v>生理男</v>
      </c>
      <c r="F44" s="18" t="str">
        <f ca="1">IFERROR(__xludf.DUMMYFUNCTION("""COMPUTED_VALUE"""),"36-40")</f>
        <v>36-40</v>
      </c>
      <c r="G44" s="18" t="str">
        <f ca="1">IFERROR(__xludf.DUMMYFUNCTION("""COMPUTED_VALUE"""),"科技業")</f>
        <v>科技業</v>
      </c>
      <c r="H44" s="18" t="str">
        <f ca="1">IFERROR(__xludf.DUMMYFUNCTION("""COMPUTED_VALUE"""),"三個月一次")</f>
        <v>三個月一次</v>
      </c>
      <c r="I44" s="18" t="str">
        <f ca="1">IFERROR(__xludf.DUMMYFUNCTION("""COMPUTED_VALUE"""),"陽光女子合唱團、阿凡達三")</f>
        <v>陽光女子合唱團、阿凡達三</v>
      </c>
      <c r="J44" s="18" t="str">
        <f ca="1">IFERROR(__xludf.DUMMYFUNCTION("""COMPUTED_VALUE"""),"超級英雄片（如：Marvel、DC）, 動作片 (如：007、不可能的任務、玩命關頭), 科幻片, 奇幻冒險片（如：哈利波特系列、魔戒）, 動漫片, 喜劇片")</f>
        <v>超級英雄片（如：Marvel、DC）, 動作片 (如：007、不可能的任務、玩命關頭), 科幻片, 奇幻冒險片（如：哈利波特系列、魔戒）, 動漫片, 喜劇片</v>
      </c>
      <c r="K44" s="18" t="str">
        <f ca="1">IFERROR(__xludf.DUMMYFUNCTION("""COMPUTED_VALUE"""),"Josie Chou")</f>
        <v>Josie Chou</v>
      </c>
      <c r="L44" s="18" t="str">
        <f ca="1">IFERROR(__xludf.DUMMYFUNCTION("""COMPUTED_VALUE"""),"期待劇本is my cup of tea")</f>
        <v>期待劇本is my cup of tea</v>
      </c>
    </row>
    <row r="45" spans="1:12" ht="22.5" customHeight="1" x14ac:dyDescent="0.15">
      <c r="A45" s="17">
        <f ca="1">IFERROR(__xludf.DUMMYFUNCTION("""COMPUTED_VALUE"""),46063.6727080671)</f>
        <v>46063.672708067097</v>
      </c>
      <c r="B45" s="18" t="str">
        <f ca="1">IFERROR(__xludf.DUMMYFUNCTION("""COMPUTED_VALUE"""),"林羿豪")</f>
        <v>林羿豪</v>
      </c>
      <c r="C45" s="18" t="str">
        <f ca="1">IFERROR(__xludf.DUMMYFUNCTION("""COMPUTED_VALUE"""),"petersonyi@gmail.com")</f>
        <v>petersonyi@gmail.com</v>
      </c>
      <c r="D45" s="18"/>
      <c r="E45" s="18" t="str">
        <f ca="1">IFERROR(__xludf.DUMMYFUNCTION("""COMPUTED_VALUE"""),"生理男")</f>
        <v>生理男</v>
      </c>
      <c r="F45" s="18" t="str">
        <f ca="1">IFERROR(__xludf.DUMMYFUNCTION("""COMPUTED_VALUE"""),"36-40")</f>
        <v>36-40</v>
      </c>
      <c r="G45" s="18" t="str">
        <f ca="1">IFERROR(__xludf.DUMMYFUNCTION("""COMPUTED_VALUE"""),"電商")</f>
        <v>電商</v>
      </c>
      <c r="H45" s="18" t="str">
        <f ca="1">IFERROR(__xludf.DUMMYFUNCTION("""COMPUTED_VALUE"""),"三個月一次")</f>
        <v>三個月一次</v>
      </c>
      <c r="I45" s="18" t="str">
        <f ca="1">IFERROR(__xludf.DUMMYFUNCTION("""COMPUTED_VALUE"""),"阿凡達 出神入化3  ")</f>
        <v xml:space="preserve">阿凡達 出神入化3  </v>
      </c>
      <c r="J45" s="18" t="str">
        <f ca="1">IFERROR(__xludf.DUMMYFUNCTION("""COMPUTED_VALUE"""),"超級英雄片（如：Marvel、DC）, 動作片 (如：007、不可能的任務、玩命關頭), 刑偵片, 科幻片, 奇幻冒險片（如：哈利波特系列、魔戒）, 動漫片, 喜劇片")</f>
        <v>超級英雄片（如：Marvel、DC）, 動作片 (如：007、不可能的任務、玩命關頭), 刑偵片, 科幻片, 奇幻冒險片（如：哈利波特系列、魔戒）, 動漫片, 喜劇片</v>
      </c>
      <c r="K45" s="18" t="str">
        <f ca="1">IFERROR(__xludf.DUMMYFUNCTION("""COMPUTED_VALUE"""),"陳郁佳")</f>
        <v>陳郁佳</v>
      </c>
      <c r="L45" s="18" t="str">
        <f ca="1">IFERROR(__xludf.DUMMYFUNCTION("""COMPUTED_VALUE"""),"無話可說")</f>
        <v>無話可說</v>
      </c>
    </row>
    <row r="46" spans="1:12" ht="22.5" customHeight="1" x14ac:dyDescent="0.15">
      <c r="A46" s="17">
        <f ca="1">IFERROR(__xludf.DUMMYFUNCTION("""COMPUTED_VALUE"""),46063.7493193055)</f>
        <v>46063.749319305498</v>
      </c>
      <c r="B46" s="18" t="str">
        <f ca="1">IFERROR(__xludf.DUMMYFUNCTION("""COMPUTED_VALUE"""),"劉瑋澔")</f>
        <v>劉瑋澔</v>
      </c>
      <c r="C46" s="18" t="str">
        <f ca="1">IFERROR(__xludf.DUMMYFUNCTION("""COMPUTED_VALUE"""),"oscar770726@gmail.com")</f>
        <v>oscar770726@gmail.com</v>
      </c>
      <c r="D46" s="18"/>
      <c r="E46" s="18" t="str">
        <f ca="1">IFERROR(__xludf.DUMMYFUNCTION("""COMPUTED_VALUE"""),"生理男")</f>
        <v>生理男</v>
      </c>
      <c r="F46" s="18" t="str">
        <f ca="1">IFERROR(__xludf.DUMMYFUNCTION("""COMPUTED_VALUE"""),"36-40")</f>
        <v>36-40</v>
      </c>
      <c r="G46" s="18" t="str">
        <f ca="1">IFERROR(__xludf.DUMMYFUNCTION("""COMPUTED_VALUE"""),"網路科技業")</f>
        <v>網路科技業</v>
      </c>
      <c r="H46" s="18" t="str">
        <f ca="1">IFERROR(__xludf.DUMMYFUNCTION("""COMPUTED_VALUE"""),"一個月一次")</f>
        <v>一個月一次</v>
      </c>
      <c r="I46" s="18" t="str">
        <f ca="1">IFERROR(__xludf.DUMMYFUNCTION("""COMPUTED_VALUE"""),"陽光女子合唱團")</f>
        <v>陽光女子合唱團</v>
      </c>
      <c r="J46" s="18" t="str">
        <f ca="1">IFERROR(__xludf.DUMMYFUNCTION("""COMPUTED_VALUE"""),"超級英雄片（如：Marvel、DC）, 動作片 (如：007、不可能的任務、玩命關頭), 刑偵片, 科幻片, 奇幻冒險片（如：哈利波特系列、魔戒）, 浪漫愛情片, 動漫片, 喜劇片")</f>
        <v>超級英雄片（如：Marvel、DC）, 動作片 (如：007、不可能的任務、玩命關頭), 刑偵片, 科幻片, 奇幻冒險片（如：哈利波特系列、魔戒）, 浪漫愛情片, 動漫片, 喜劇片</v>
      </c>
      <c r="K46" s="18" t="str">
        <f ca="1">IFERROR(__xludf.DUMMYFUNCTION("""COMPUTED_VALUE"""),"陳郁佳")</f>
        <v>陳郁佳</v>
      </c>
      <c r="L46" s="18"/>
    </row>
    <row r="47" spans="1:12" ht="22.5" customHeight="1" x14ac:dyDescent="0.15">
      <c r="A47" s="17">
        <f ca="1">IFERROR(__xludf.DUMMYFUNCTION("""COMPUTED_VALUE"""),46069.6870698148)</f>
        <v>46069.687069814798</v>
      </c>
      <c r="B47" s="18" t="str">
        <f ca="1">IFERROR(__xludf.DUMMYFUNCTION("""COMPUTED_VALUE"""),"許哲維")</f>
        <v>許哲維</v>
      </c>
      <c r="C47" s="18" t="str">
        <f ca="1">IFERROR(__xludf.DUMMYFUNCTION("""COMPUTED_VALUE"""),"oneedison@gmail.com")</f>
        <v>oneedison@gmail.com</v>
      </c>
      <c r="D47" s="18"/>
      <c r="E47" s="18" t="str">
        <f ca="1">IFERROR(__xludf.DUMMYFUNCTION("""COMPUTED_VALUE"""),"生理男")</f>
        <v>生理男</v>
      </c>
      <c r="F47" s="18" t="str">
        <f ca="1">IFERROR(__xludf.DUMMYFUNCTION("""COMPUTED_VALUE"""),"36-40")</f>
        <v>36-40</v>
      </c>
      <c r="G47" s="18" t="str">
        <f ca="1">IFERROR(__xludf.DUMMYFUNCTION("""COMPUTED_VALUE"""),"應用數學系")</f>
        <v>應用數學系</v>
      </c>
      <c r="H47" s="18" t="str">
        <f ca="1">IFERROR(__xludf.DUMMYFUNCTION("""COMPUTED_VALUE"""),"一個月一次")</f>
        <v>一個月一次</v>
      </c>
      <c r="I47" s="18" t="str">
        <f ca="1">IFERROR(__xludf.DUMMYFUNCTION("""COMPUTED_VALUE"""),"陽光女子合唱團")</f>
        <v>陽光女子合唱團</v>
      </c>
      <c r="J47" s="18" t="str">
        <f ca="1">IFERROR(__xludf.DUMMYFUNCTION("""COMPUTED_VALUE"""),"超級英雄片（如：Marvel、DC）, 動作片 (如：007、不可能的任務、玩命關頭), 奇幻冒險片（如：哈利波特系列、魔戒）, 動漫片, 喜劇片")</f>
        <v>超級英雄片（如：Marvel、DC）, 動作片 (如：007、不可能的任務、玩命關頭), 奇幻冒險片（如：哈利波特系列、魔戒）, 動漫片, 喜劇片</v>
      </c>
      <c r="K47" s="18" t="str">
        <f ca="1">IFERROR(__xludf.DUMMYFUNCTION("""COMPUTED_VALUE"""),"陳彤")</f>
        <v>陳彤</v>
      </c>
      <c r="L47" s="18"/>
    </row>
    <row r="48" spans="1:12" ht="22.5" customHeight="1" x14ac:dyDescent="0.15">
      <c r="A48" s="17">
        <f ca="1">IFERROR(__xludf.DUMMYFUNCTION("""COMPUTED_VALUE"""),46063.7294636458)</f>
        <v>46063.729463645803</v>
      </c>
      <c r="B48" s="18" t="str">
        <f ca="1">IFERROR(__xludf.DUMMYFUNCTION("""COMPUTED_VALUE"""),"莊仁豪")</f>
        <v>莊仁豪</v>
      </c>
      <c r="C48" s="18" t="str">
        <f ca="1">IFERROR(__xludf.DUMMYFUNCTION("""COMPUTED_VALUE"""),"renhao912@hotmail.com")</f>
        <v>renhao912@hotmail.com</v>
      </c>
      <c r="D48" s="18"/>
      <c r="E48" s="18" t="str">
        <f ca="1">IFERROR(__xludf.DUMMYFUNCTION("""COMPUTED_VALUE"""),"生理男")</f>
        <v>生理男</v>
      </c>
      <c r="F48" s="18" t="str">
        <f ca="1">IFERROR(__xludf.DUMMYFUNCTION("""COMPUTED_VALUE"""),"36-40")</f>
        <v>36-40</v>
      </c>
      <c r="G48" s="18" t="str">
        <f ca="1">IFERROR(__xludf.DUMMYFUNCTION("""COMPUTED_VALUE"""),"醫療")</f>
        <v>醫療</v>
      </c>
      <c r="H48" s="18" t="str">
        <f ca="1">IFERROR(__xludf.DUMMYFUNCTION("""COMPUTED_VALUE"""),"三個月一次")</f>
        <v>三個月一次</v>
      </c>
      <c r="I48" s="18" t="str">
        <f ca="1">IFERROR(__xludf.DUMMYFUNCTION("""COMPUTED_VALUE"""),"陽光女子合唱團")</f>
        <v>陽光女子合唱團</v>
      </c>
      <c r="J48" s="18" t="str">
        <f ca="1">IFERROR(__xludf.DUMMYFUNCTION("""COMPUTED_VALUE"""),"超級英雄片（如：Marvel、DC）, 動作片 (如：007、不可能的任務、玩命關頭), 奇幻冒險片（如：哈利波特系列、魔戒）, 動漫片")</f>
        <v>超級英雄片（如：Marvel、DC）, 動作片 (如：007、不可能的任務、玩命關頭), 奇幻冒險片（如：哈利波特系列、魔戒）, 動漫片</v>
      </c>
      <c r="K48" s="18" t="str">
        <f ca="1">IFERROR(__xludf.DUMMYFUNCTION("""COMPUTED_VALUE"""),"許承傑")</f>
        <v>許承傑</v>
      </c>
      <c r="L48" s="18"/>
    </row>
    <row r="49" spans="1:12" ht="22.5" customHeight="1" x14ac:dyDescent="0.15">
      <c r="A49" s="17">
        <f ca="1">IFERROR(__xludf.DUMMYFUNCTION("""COMPUTED_VALUE"""),46064.5372293055)</f>
        <v>46064.537229305497</v>
      </c>
      <c r="B49" s="18" t="str">
        <f ca="1">IFERROR(__xludf.DUMMYFUNCTION("""COMPUTED_VALUE"""),"林昭彥")</f>
        <v>林昭彥</v>
      </c>
      <c r="C49" s="18" t="str">
        <f ca="1">IFERROR(__xludf.DUMMYFUNCTION("""COMPUTED_VALUE"""),"saglin@gmail.com")</f>
        <v>saglin@gmail.com</v>
      </c>
      <c r="D49" s="18"/>
      <c r="E49" s="18" t="str">
        <f ca="1">IFERROR(__xludf.DUMMYFUNCTION("""COMPUTED_VALUE"""),"生理男")</f>
        <v>生理男</v>
      </c>
      <c r="F49" s="18" t="str">
        <f ca="1">IFERROR(__xludf.DUMMYFUNCTION("""COMPUTED_VALUE"""),"41-45")</f>
        <v>41-45</v>
      </c>
      <c r="G49" s="18" t="str">
        <f ca="1">IFERROR(__xludf.DUMMYFUNCTION("""COMPUTED_VALUE"""),"科技業")</f>
        <v>科技業</v>
      </c>
      <c r="H49" s="18" t="str">
        <f ca="1">IFERROR(__xludf.DUMMYFUNCTION("""COMPUTED_VALUE"""),"半年一次")</f>
        <v>半年一次</v>
      </c>
      <c r="I49" s="18" t="str">
        <f ca="1">IFERROR(__xludf.DUMMYFUNCTION("""COMPUTED_VALUE"""),"動物方城市2")</f>
        <v>動物方城市2</v>
      </c>
      <c r="J49" s="18" t="str">
        <f ca="1">IFERROR(__xludf.DUMMYFUNCTION("""COMPUTED_VALUE"""),"超級英雄片（如：Marvel、DC）, 動作片 (如：007、不可能的任務、玩命關頭), 科幻片, 奇幻冒險片（如：哈利波特系列、魔戒）, 動漫片, 喜劇片")</f>
        <v>超級英雄片（如：Marvel、DC）, 動作片 (如：007、不可能的任務、玩命關頭), 科幻片, 奇幻冒險片（如：哈利波特系列、魔戒）, 動漫片, 喜劇片</v>
      </c>
      <c r="K49" s="18" t="str">
        <f ca="1">IFERROR(__xludf.DUMMYFUNCTION("""COMPUTED_VALUE"""),"Josie")</f>
        <v>Josie</v>
      </c>
      <c r="L49" s="18"/>
    </row>
    <row r="50" spans="1:12" ht="22.5" customHeight="1" x14ac:dyDescent="0.15">
      <c r="A50" s="17">
        <f ca="1">IFERROR(__xludf.DUMMYFUNCTION("""COMPUTED_VALUE"""),46062.9360196527)</f>
        <v>46062.936019652698</v>
      </c>
      <c r="B50" s="18" t="str">
        <f ca="1">IFERROR(__xludf.DUMMYFUNCTION("""COMPUTED_VALUE"""),"林冠邦")</f>
        <v>林冠邦</v>
      </c>
      <c r="C50" s="18" t="str">
        <f ca="1">IFERROR(__xludf.DUMMYFUNCTION("""COMPUTED_VALUE"""),"Benjamin.k.p.lin@gmail.com")</f>
        <v>Benjamin.k.p.lin@gmail.com</v>
      </c>
      <c r="D50" s="18" t="str">
        <f ca="1">IFERROR(__xludf.DUMMYFUNCTION("""COMPUTED_VALUE"""),"0988303189")</f>
        <v>0988303189</v>
      </c>
      <c r="E50" s="18" t="str">
        <f ca="1">IFERROR(__xludf.DUMMYFUNCTION("""COMPUTED_VALUE"""),"生理男")</f>
        <v>生理男</v>
      </c>
      <c r="F50" s="18" t="str">
        <f ca="1">IFERROR(__xludf.DUMMYFUNCTION("""COMPUTED_VALUE"""),"41-45")</f>
        <v>41-45</v>
      </c>
      <c r="G50" s="18" t="str">
        <f ca="1">IFERROR(__xludf.DUMMYFUNCTION("""COMPUTED_VALUE"""),"國際貿易+產品設計 / 國貿系 +機械系")</f>
        <v>國際貿易+產品設計 / 國貿系 +機械系</v>
      </c>
      <c r="H50" s="18" t="str">
        <f ca="1">IFERROR(__xludf.DUMMYFUNCTION("""COMPUTED_VALUE"""),"一個月一次")</f>
        <v>一個月一次</v>
      </c>
      <c r="I50" s="18" t="str">
        <f ca="1">IFERROR(__xludf.DUMMYFUNCTION("""COMPUTED_VALUE"""),"雙囍")</f>
        <v>雙囍</v>
      </c>
      <c r="J50" s="18" t="str">
        <f ca="1">IFERROR(__xludf.DUMMYFUNCTION("""COMPUTED_VALUE"""),"超級英雄片（如：Marvel、DC）, 動作片 (如：007、不可能的任務、玩命關頭), 刑偵片, 科幻片, 浪漫愛情片, 文藝劇情片, 動漫片, 喜劇片")</f>
        <v>超級英雄片（如：Marvel、DC）, 動作片 (如：007、不可能的任務、玩命關頭), 刑偵片, 科幻片, 浪漫愛情片, 文藝劇情片, 動漫片, 喜劇片</v>
      </c>
      <c r="K50" s="18" t="str">
        <f ca="1">IFERROR(__xludf.DUMMYFUNCTION("""COMPUTED_VALUE"""),"許承傑導演")</f>
        <v>許承傑導演</v>
      </c>
      <c r="L50" s="18" t="str">
        <f ca="1">IFERROR(__xludf.DUMMYFUNCTION("""COMPUTED_VALUE"""),"太期待啦 🤩🤩🤩")</f>
        <v>太期待啦 🤩🤩🤩</v>
      </c>
    </row>
    <row r="51" spans="1:12" ht="22.5" customHeight="1" x14ac:dyDescent="0.15">
      <c r="A51" s="17">
        <f ca="1">IFERROR(__xludf.DUMMYFUNCTION("""COMPUTED_VALUE"""),46063.6242526157)</f>
        <v>46063.6242526157</v>
      </c>
      <c r="B51" s="18" t="str">
        <f ca="1">IFERROR(__xludf.DUMMYFUNCTION("""COMPUTED_VALUE"""),"吳政鴻")</f>
        <v>吳政鴻</v>
      </c>
      <c r="C51" s="18" t="str">
        <f ca="1">IFERROR(__xludf.DUMMYFUNCTION("""COMPUTED_VALUE"""),"abeliv66@gmail.com")</f>
        <v>abeliv66@gmail.com</v>
      </c>
      <c r="D51" s="18" t="str">
        <f ca="1">IFERROR(__xludf.DUMMYFUNCTION("""COMPUTED_VALUE"""),"0958937631")</f>
        <v>0958937631</v>
      </c>
      <c r="E51" s="18" t="str">
        <f ca="1">IFERROR(__xludf.DUMMYFUNCTION("""COMPUTED_VALUE"""),"生理男")</f>
        <v>生理男</v>
      </c>
      <c r="F51" s="18" t="str">
        <f ca="1">IFERROR(__xludf.DUMMYFUNCTION("""COMPUTED_VALUE"""),"41-45")</f>
        <v>41-45</v>
      </c>
      <c r="G51" s="18" t="str">
        <f ca="1">IFERROR(__xludf.DUMMYFUNCTION("""COMPUTED_VALUE"""),"資訊業")</f>
        <v>資訊業</v>
      </c>
      <c r="H51" s="18" t="str">
        <f ca="1">IFERROR(__xludf.DUMMYFUNCTION("""COMPUTED_VALUE"""),"一年一次")</f>
        <v>一年一次</v>
      </c>
      <c r="I51" s="18" t="str">
        <f ca="1">IFERROR(__xludf.DUMMYFUNCTION("""COMPUTED_VALUE"""),"不可能的任務：最終清算")</f>
        <v>不可能的任務：最終清算</v>
      </c>
      <c r="J51" s="18" t="str">
        <f ca="1">IFERROR(__xludf.DUMMYFUNCTION("""COMPUTED_VALUE"""),"超級英雄片（如：Marvel、DC）, 動作片 (如：007、不可能的任務、玩命關頭), 刑偵片, 科幻片, 奇幻冒險片（如：哈利波特系列、魔戒）, 浪漫愛情片, 文藝劇情片, 動漫片, 喜劇片, 歌舞片、紀錄片等")</f>
        <v>超級英雄片（如：Marvel、DC）, 動作片 (如：007、不可能的任務、玩命關頭), 刑偵片, 科幻片, 奇幻冒險片（如：哈利波特系列、魔戒）, 浪漫愛情片, 文藝劇情片, 動漫片, 喜劇片, 歌舞片、紀錄片等</v>
      </c>
      <c r="K51" s="18" t="str">
        <f ca="1">IFERROR(__xludf.DUMMYFUNCTION("""COMPUTED_VALUE"""),"大學同學劉宛玲小姐")</f>
        <v>大學同學劉宛玲小姐</v>
      </c>
      <c r="L51" s="18" t="str">
        <f ca="1">IFERROR(__xludf.DUMMYFUNCTION("""COMPUTED_VALUE"""),"如果需要電聯希望是平日上班時間，謝謝")</f>
        <v>如果需要電聯希望是平日上班時間，謝謝</v>
      </c>
    </row>
    <row r="52" spans="1:12" ht="22.5" customHeight="1" x14ac:dyDescent="0.15">
      <c r="A52" s="17">
        <f ca="1">IFERROR(__xludf.DUMMYFUNCTION("""COMPUTED_VALUE"""),46063.5070300463)</f>
        <v>46063.507030046298</v>
      </c>
      <c r="B52" s="18" t="str">
        <f ca="1">IFERROR(__xludf.DUMMYFUNCTION("""COMPUTED_VALUE"""),"徐仁恩")</f>
        <v>徐仁恩</v>
      </c>
      <c r="C52" s="18" t="str">
        <f ca="1">IFERROR(__xludf.DUMMYFUNCTION("""COMPUTED_VALUE"""),"shanhsu1020@gmail.com")</f>
        <v>shanhsu1020@gmail.com</v>
      </c>
      <c r="D52" s="18" t="str">
        <f ca="1">IFERROR(__xludf.DUMMYFUNCTION("""COMPUTED_VALUE"""),"0972623597")</f>
        <v>0972623597</v>
      </c>
      <c r="E52" s="18" t="str">
        <f ca="1">IFERROR(__xludf.DUMMYFUNCTION("""COMPUTED_VALUE"""),"生理男")</f>
        <v>生理男</v>
      </c>
      <c r="F52" s="18" t="str">
        <f ca="1">IFERROR(__xludf.DUMMYFUNCTION("""COMPUTED_VALUE"""),"41-45")</f>
        <v>41-45</v>
      </c>
      <c r="G52" s="18" t="str">
        <f ca="1">IFERROR(__xludf.DUMMYFUNCTION("""COMPUTED_VALUE"""),"營造業")</f>
        <v>營造業</v>
      </c>
      <c r="H52" s="18" t="str">
        <f ca="1">IFERROR(__xludf.DUMMYFUNCTION("""COMPUTED_VALUE"""),"半年一次")</f>
        <v>半年一次</v>
      </c>
      <c r="I52" s="18" t="str">
        <f ca="1">IFERROR(__xludf.DUMMYFUNCTION("""COMPUTED_VALUE"""),"魔法壞女巫：第二部")</f>
        <v>魔法壞女巫：第二部</v>
      </c>
      <c r="J52" s="18" t="str">
        <f ca="1">IFERROR(__xludf.DUMMYFUNCTION("""COMPUTED_VALUE"""),"超級英雄片（如：Marvel、DC）, 動作片 (如：007、不可能的任務、玩命關頭), 科幻片, 奇幻冒險片（如：哈利波特系列、魔戒）, 動漫片, 喜劇片")</f>
        <v>超級英雄片（如：Marvel、DC）, 動作片 (如：007、不可能的任務、玩命關頭), 科幻片, 奇幻冒險片（如：哈利波特系列、魔戒）, 動漫片, 喜劇片</v>
      </c>
      <c r="K52" s="18" t="str">
        <f ca="1">IFERROR(__xludf.DUMMYFUNCTION("""COMPUTED_VALUE"""),"許承傑")</f>
        <v>許承傑</v>
      </c>
      <c r="L52" s="18"/>
    </row>
    <row r="53" spans="1:12" ht="22.5" customHeight="1" x14ac:dyDescent="0.15">
      <c r="A53" s="17">
        <f ca="1">IFERROR(__xludf.DUMMYFUNCTION("""COMPUTED_VALUE"""),46064.5602930555)</f>
        <v>46064.560293055503</v>
      </c>
      <c r="B53" s="18" t="str">
        <f ca="1">IFERROR(__xludf.DUMMYFUNCTION("""COMPUTED_VALUE"""),"胡國華")</f>
        <v>胡國華</v>
      </c>
      <c r="C53" s="18" t="str">
        <f ca="1">IFERROR(__xludf.DUMMYFUNCTION("""COMPUTED_VALUE"""),"wendyyang1201@gmail.com")</f>
        <v>wendyyang1201@gmail.com</v>
      </c>
      <c r="D53" s="18"/>
      <c r="E53" s="18" t="str">
        <f ca="1">IFERROR(__xludf.DUMMYFUNCTION("""COMPUTED_VALUE"""),"生理男")</f>
        <v>生理男</v>
      </c>
      <c r="F53" s="18" t="str">
        <f ca="1">IFERROR(__xludf.DUMMYFUNCTION("""COMPUTED_VALUE"""),"41-45")</f>
        <v>41-45</v>
      </c>
      <c r="G53" s="18" t="str">
        <f ca="1">IFERROR(__xludf.DUMMYFUNCTION("""COMPUTED_VALUE"""),"科技業")</f>
        <v>科技業</v>
      </c>
      <c r="H53" s="18" t="str">
        <f ca="1">IFERROR(__xludf.DUMMYFUNCTION("""COMPUTED_VALUE"""),"一個月一次")</f>
        <v>一個月一次</v>
      </c>
      <c r="I53" s="18" t="str">
        <f ca="1">IFERROR(__xludf.DUMMYFUNCTION("""COMPUTED_VALUE"""),"柯南")</f>
        <v>柯南</v>
      </c>
      <c r="J53" s="18" t="str">
        <f ca="1">IFERROR(__xludf.DUMMYFUNCTION("""COMPUTED_VALUE"""),"超級英雄片（如：Marvel、DC）, 奇幻冒險片（如：哈利波特系列、魔戒）, 動漫片")</f>
        <v>超級英雄片（如：Marvel、DC）, 奇幻冒險片（如：哈利波特系列、魔戒）, 動漫片</v>
      </c>
      <c r="K53" s="18" t="str">
        <f ca="1">IFERROR(__xludf.DUMMYFUNCTION("""COMPUTED_VALUE"""),"Josie")</f>
        <v>Josie</v>
      </c>
      <c r="L53" s="18"/>
    </row>
    <row r="54" spans="1:12" ht="22.5" customHeight="1" x14ac:dyDescent="0.15">
      <c r="A54" s="17">
        <f ca="1">IFERROR(__xludf.DUMMYFUNCTION("""COMPUTED_VALUE"""),46063.8612409953)</f>
        <v>46063.861240995298</v>
      </c>
      <c r="B54" s="18" t="str">
        <f ca="1">IFERROR(__xludf.DUMMYFUNCTION("""COMPUTED_VALUE"""),"宋昆銘")</f>
        <v>宋昆銘</v>
      </c>
      <c r="C54" s="18" t="str">
        <f ca="1">IFERROR(__xludf.DUMMYFUNCTION("""COMPUTED_VALUE"""),"isfore@gmail.com")</f>
        <v>isfore@gmail.com</v>
      </c>
      <c r="D54" s="18"/>
      <c r="E54" s="18" t="str">
        <f ca="1">IFERROR(__xludf.DUMMYFUNCTION("""COMPUTED_VALUE"""),"生理男")</f>
        <v>生理男</v>
      </c>
      <c r="F54" s="18" t="str">
        <f ca="1">IFERROR(__xludf.DUMMYFUNCTION("""COMPUTED_VALUE"""),"46-50")</f>
        <v>46-50</v>
      </c>
      <c r="G54" s="18" t="str">
        <f ca="1">IFERROR(__xludf.DUMMYFUNCTION("""COMPUTED_VALUE"""),"媒體")</f>
        <v>媒體</v>
      </c>
      <c r="H54" s="18" t="str">
        <f ca="1">IFERROR(__xludf.DUMMYFUNCTION("""COMPUTED_VALUE"""),"半年一次")</f>
        <v>半年一次</v>
      </c>
      <c r="I54" s="18" t="str">
        <f ca="1">IFERROR(__xludf.DUMMYFUNCTION("""COMPUTED_VALUE"""),"荒野機器人、侏羅紀公園重生")</f>
        <v>荒野機器人、侏羅紀公園重生</v>
      </c>
      <c r="J54" s="18" t="str">
        <f ca="1">IFERROR(__xludf.DUMMYFUNCTION("""COMPUTED_VALUE"""),"超級英雄片（如：Marvel、DC）, 動作片 (如：007、不可能的任務、玩命關頭), 刑偵片, 科幻片, 奇幻冒險片（如：哈利波特系列、魔戒）, 動漫片, 喜劇片")</f>
        <v>超級英雄片（如：Marvel、DC）, 動作片 (如：007、不可能的任務、玩命關頭), 刑偵片, 科幻片, 奇幻冒險片（如：哈利波特系列、魔戒）, 動漫片, 喜劇片</v>
      </c>
      <c r="K54" s="18" t="str">
        <f ca="1">IFERROR(__xludf.DUMMYFUNCTION("""COMPUTED_VALUE"""),"劉婉玲")</f>
        <v>劉婉玲</v>
      </c>
      <c r="L54" s="18"/>
    </row>
    <row r="55" spans="1:12" ht="22.5" customHeight="1" x14ac:dyDescent="0.15">
      <c r="A55" s="17">
        <f ca="1">IFERROR(__xludf.DUMMYFUNCTION("""COMPUTED_VALUE"""),46065.3487926273)</f>
        <v>46065.348792627301</v>
      </c>
      <c r="B55" s="18" t="str">
        <f ca="1">IFERROR(__xludf.DUMMYFUNCTION("""COMPUTED_VALUE"""),"dannis yu")</f>
        <v>dannis yu</v>
      </c>
      <c r="C55" s="18" t="str">
        <f ca="1">IFERROR(__xludf.DUMMYFUNCTION("""COMPUTED_VALUE"""),"dannisyu@gmail.com")</f>
        <v>dannisyu@gmail.com</v>
      </c>
      <c r="D55" s="18"/>
      <c r="E55" s="18" t="str">
        <f ca="1">IFERROR(__xludf.DUMMYFUNCTION("""COMPUTED_VALUE"""),"生理男")</f>
        <v>生理男</v>
      </c>
      <c r="F55" s="18" t="str">
        <f ca="1">IFERROR(__xludf.DUMMYFUNCTION("""COMPUTED_VALUE"""),"46-50")</f>
        <v>46-50</v>
      </c>
      <c r="G55" s="18" t="str">
        <f ca="1">IFERROR(__xludf.DUMMYFUNCTION("""COMPUTED_VALUE"""),"電子通訊")</f>
        <v>電子通訊</v>
      </c>
      <c r="H55" s="18" t="str">
        <f ca="1">IFERROR(__xludf.DUMMYFUNCTION("""COMPUTED_VALUE"""),"半年一次")</f>
        <v>半年一次</v>
      </c>
      <c r="I55" s="18" t="str">
        <f ca="1">IFERROR(__xludf.DUMMYFUNCTION("""COMPUTED_VALUE"""),"星星與月亮、動物方城市2、白雪公主")</f>
        <v>星星與月亮、動物方城市2、白雪公主</v>
      </c>
      <c r="J55" s="18" t="str">
        <f ca="1">IFERROR(__xludf.DUMMYFUNCTION("""COMPUTED_VALUE"""),"超級英雄片（如：Marvel、DC）, 動作片 (如：007、不可能的任務、玩命關頭), 刑偵片, 科幻片, 奇幻冒險片（如：哈利波特系列、魔戒）, 動漫片")</f>
        <v>超級英雄片（如：Marvel、DC）, 動作片 (如：007、不可能的任務、玩命關頭), 刑偵片, 科幻片, 奇幻冒險片（如：哈利波特系列、魔戒）, 動漫片</v>
      </c>
      <c r="K55" s="18" t="str">
        <f ca="1">IFERROR(__xludf.DUMMYFUNCTION("""COMPUTED_VALUE"""),"zona")</f>
        <v>zona</v>
      </c>
      <c r="L55" s="18"/>
    </row>
  </sheetData>
  <phoneticPr fontId="9"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表單回覆 整合</vt:lpstr>
      <vt:lpstr>寄送列表</vt:lpstr>
      <vt:lpstr>表單回覆 整合-公式</vt:lpstr>
      <vt:lpstr>彼此影業 劇本盲測對象調查 - 盲測初選名單 (已自動連結)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cp:lastModifiedBy>
  <dcterms:created xsi:type="dcterms:W3CDTF">2026-04-01T03:40:58Z</dcterms:created>
  <dcterms:modified xsi:type="dcterms:W3CDTF">2026-04-07T03:25:19Z</dcterms:modified>
</cp:coreProperties>
</file>